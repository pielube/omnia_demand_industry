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1a7b9d16f28a4e42" /></Relationships>
</file>

<file path=xl/workbook.xml><?xml version="1.0" encoding="utf-8"?>
<x:workbook xmlns:x="http://schemas.openxmlformats.org/spreadsheetml/2006/main">
  <x:sheets>
    <x:sheet xmlns:r="http://schemas.openxmlformats.org/officeDocument/2006/relationships" name="Estimates" sheetId="1" r:id="R88e858aca5b142b2"/>
    <x:sheet xmlns:r="http://schemas.openxmlformats.org/officeDocument/2006/relationships" name="Methodology" sheetId="2" r:id="R3436c4fe83994a40"/>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
  </x:numFmts>
  <x:fonts count="6">
    <x:font>
      <x:sz val="11"/>
      <x:name val="Carlito"/>
    </x:font>
    <x:font>
      <x:b/>
      <x:sz val="16"/>
      <x:color rgb="FFFFFFFF"/>
      <x:name val="Carlito"/>
    </x:font>
    <x:font>
      <x:i/>
      <x:sz val="10"/>
      <x:color rgb="FF1F2937"/>
      <x:name val="Carlito"/>
    </x:font>
    <x:font>
      <x:b/>
      <x:sz val="10"/>
      <x:color rgb="FFFFFFFF"/>
      <x:name val="Carlito"/>
    </x:font>
    <x:font>
      <x:b/>
      <x:sz val="11"/>
      <x:color rgb="FF17365D"/>
      <x:name val="Carlito"/>
    </x:font>
    <x:font>
      <x:b/>
      <x:sz val="11"/>
      <x:color rgb="FF111827"/>
      <x:name val="Carlito"/>
    </x:font>
  </x:fonts>
  <x:fills count="7">
    <x:fill>
      <x:patternFill patternType="none"/>
    </x:fill>
    <x:fill>
      <x:patternFill patternType="gray125"/>
    </x:fill>
    <x:fill>
      <x:patternFill patternType="solid">
        <x:fgColor rgb="FF17365D"/>
      </x:patternFill>
    </x:fill>
    <x:fill>
      <x:patternFill patternType="solid">
        <x:fgColor rgb="FFDCE6F1"/>
      </x:patternFill>
    </x:fill>
    <x:fill>
      <x:patternFill patternType="solid">
        <x:fgColor rgb="FF2F75B5"/>
      </x:patternFill>
    </x:fill>
    <x:fill>
      <x:patternFill patternType="solid">
        <x:fgColor rgb="FFEAF2F8"/>
      </x:patternFill>
    </x:fill>
    <x:fill>
      <x:patternFill patternType="solid">
        <x:fgColor rgb="FFF7FAFC"/>
      </x:patternFill>
    </x:fill>
  </x:fills>
  <x:borders count="2">
    <x:border/>
    <x:border/>
  </x:borders>
  <x:cellStyleXfs count="1">
    <x:xf numFmtId="0" fontId="0" fillId="0" borderId="0"/>
  </x:cellStyleXfs>
  <x:cellXfs count="57">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vertical="center"/>
    </x:xf>
    <x:xf numFmtId="0" fontId="0" fillId="5" borderId="1"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vertical="center"/>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horizontal="center"/>
    </x:xf>
    <x:xf numFmtId="0" fontId="0" fillId="6" borderId="1" xfId="0" applyNumberFormat="1" applyFont="1" applyFill="1" applyBorder="1"/>
    <x:xf numFmtId="0" fontId="5" fillId="6" borderId="1" xfId="0" applyNumberFormat="1" applyFont="1" applyFill="1" applyBorder="1"/>
    <x:xf numFmtId="0" fontId="5" fillId="6" borderId="1" xfId="0" applyNumberFormat="1" applyFont="1" applyFill="1" applyBorder="1" applyAlignment="1">
      <x:alignment horizontal="center"/>
    </x:xf>
    <x:xf numFmtId="0" fontId="0" fillId="0" borderId="0" xfId="0" applyNumberFormat="1" applyFont="1" applyFill="1" applyBorder="1" applyAlignment="1">
      <x:alignment vertical="top"/>
    </x:xf>
    <x:xf numFmtId="0" fontId="0" fillId="0" borderId="1" xfId="0" applyNumberFormat="1" applyFont="1" applyFill="1" applyBorder="1" applyAlignment="1">
      <x:alignment vertical="top"/>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0" borderId="0" xfId="0" applyNumberFormat="1" applyFont="1" applyFill="1" applyBorder="1" applyAlignment="1">
      <x:alignment vertical="top" wrapText="0"/>
    </x:xf>
    <x:xf numFmtId="0" fontId="0" fillId="0" borderId="1" xfId="0" applyNumberFormat="1" applyFont="1" applyFill="1" applyBorder="1" applyAlignment="1">
      <x:alignment vertical="top" wrapText="0"/>
    </x:xf>
    <x:xf numFmtId="200" fontId="0" fillId="0" borderId="0" xfId="0" applyNumberFormat="1" applyFont="1" applyFill="1" applyBorder="1" applyAlignment="1">
      <x:alignment vertical="top"/>
    </x:xf>
    <x:xf numFmtId="200" fontId="0" fillId="0" borderId="1" xfId="0" applyNumberFormat="1" applyFont="1" applyFill="1" applyBorder="1" applyAlignment="1">
      <x:alignment vertical="top"/>
    </x:xf>
    <x:xf numFmtId="200" fontId="5" fillId="6" borderId="0" xfId="0" applyNumberFormat="1" applyFont="1" applyFill="1" applyBorder="1" applyAlignment="1">
      <x:alignment horizontal="center"/>
    </x:xf>
    <x:xf numFmtId="200" fontId="5" fillId="6" borderId="1" xfId="0" applyNumberFormat="1" applyFont="1" applyFill="1" applyBorder="1" applyAlignment="1">
      <x:alignment horizontal="center"/>
    </x:xf>
    <x:xf numFmtId="0" fontId="0" fillId="0" borderId="0" xfId="0" applyNumberFormat="1" applyFont="1" applyFill="1" applyBorder="1"/>
    <x:xf numFmtId="0" fontId="4" fillId="3" borderId="0" xfId="0" applyNumberFormat="1" applyFont="1" applyFill="1" applyBorder="1"/>
    <x:xf numFmtId="0" fontId="4" fillId="3" borderId="0" xfId="0" applyNumberFormat="1" applyFont="1" applyFill="1" applyBorder="1" applyAlignment="1">
      <x:alignment vertical="top"/>
    </x:xf>
    <x:xf numFmtId="0" fontId="4" fillId="3" borderId="1" xfId="0" applyNumberFormat="1" applyFont="1" applyFill="1" applyBorder="1"/>
    <x:xf numFmtId="0" fontId="4" fillId="3" borderId="1" xfId="0" applyNumberFormat="1" applyFont="1" applyFill="1" applyBorder="1" applyAlignment="1">
      <x:alignment vertical="top"/>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cellXfs>
  <x:cellStyles count="1">
    <x:cellStyle name="Normal" xfId="0"/>
  </x:cellStyles>
  <x:dxfs count="6">
    <x:dxf>
      <x:font>
        <x:b/>
        <x:color rgb="FF006100"/>
      </x:font>
      <x:fill>
        <x:patternFill>
          <x:bgColor rgb="FFC6EFCE"/>
        </x:patternFill>
      </x:fill>
    </x:dxf>
    <x:dxf>
      <x:font>
        <x:b/>
        <x:color rgb="FF9C6500"/>
      </x:font>
      <x:fill>
        <x:patternFill>
          <x:bgColor rgb="FFFFEB9C"/>
        </x:patternFill>
      </x:fill>
    </x:dxf>
    <x:dxf>
      <x:font>
        <x:b/>
        <x:color rgb="FF9C0006"/>
      </x:font>
      <x:fill>
        <x:patternFill>
          <x:bgColor rgb="FFF4CCCC"/>
        </x:patternFill>
      </x:fill>
    </x:dxf>
    <x:dxf>
      <x:font>
        <x:b/>
        <x:color rgb="FF006100"/>
      </x:font>
      <x:fill>
        <x:patternFill patternType="solid">
          <x:bgColor rgb="FFC6EFCE"/>
        </x:patternFill>
      </x:fill>
    </x:dxf>
    <x:dxf>
      <x:font>
        <x:b/>
        <x:color rgb="FF9C6500"/>
      </x:font>
      <x:fill>
        <x:patternFill patternType="solid">
          <x:bgColor rgb="FFFFEB9C"/>
        </x:patternFill>
      </x:fill>
    </x:dxf>
    <x:dxf>
      <x:font>
        <x:b/>
        <x:color rgb="FF9C0006"/>
      </x:font>
      <x:fill>
        <x:patternFill patternType="solid">
          <x:bgColor rgb="FFF4CC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99ebc0389e484a5d" /><Relationship Type="http://schemas.openxmlformats.org/officeDocument/2006/relationships/theme" Target="/xl/theme/theme1.xml" Id="R336312d9b9be470f" /><Relationship Type="http://schemas.openxmlformats.org/officeDocument/2006/relationships/sharedStrings" Target="/xl/sharedStrings.xml" Id="Rd6fdfe654bd24d2b" /><Relationship Type="http://schemas.openxmlformats.org/officeDocument/2006/relationships/worksheet" Target="/xl/worksheets/sheet1.xml" Id="R88e858aca5b142b2" /><Relationship Type="http://schemas.openxmlformats.org/officeDocument/2006/relationships/worksheet" Target="/xl/worksheets/sheet2.xml" Id="R3436c4fe83994a40" /></Relationships>
</file>

<file path=xl/tables/table1.xml><?xml version="1.0" encoding="utf-8"?>
<x:table xmlns:x="http://schemas.openxmlformats.org/spreadsheetml/2006/main" id="1" name="SecondaryAluminiumEstimates" displayName="SecondaryAluminiumEstimates" ref="A5:M53" headerRowCount="1">
  <x:tableColumns count="13">
    <x:tableColumn id="1" name="Country"/>
    <x:tableColumn id="2" name="ISO3"/>
    <x:tableColumn id="3" name="Point estimate (kt)"/>
    <x:tableColumn id="4" name="Low (kt)"/>
    <x:tableColumn id="5" name="High (kt)"/>
    <x:tableColumn id="6" name="Reference year"/>
    <x:tableColumn id="7" name="Evidence class"/>
    <x:tableColumn id="8" name="Confidence"/>
    <x:tableColumn id="9" name="Definition / scope"/>
    <x:tableColumn id="10" name="Estimation basis"/>
    <x:tableColumn id="11" name="Primary source"/>
    <x:tableColumn id="12" name="Source URL"/>
    <x:tableColumn id="13" name="Key caveat"/>
  </x:tableColumns>
  <x:tableStyleInfo name="TableStyleMedium2" showRowStripes="1"/>
</x:table>
</file>

<file path=xl/tables/table2.xml><?xml version="1.0" encoding="utf-8"?>
<x:table xmlns:x="http://schemas.openxmlformats.org/spreadsheetml/2006/main" id="2" name="SupportingSources" displayName="SupportingSources" ref="A18:C23" headerRowCount="1">
  <x:tableColumns count="3">
    <x:tableColumn id="1" name="Dataset / source"/>
    <x:tableColumn id="2" name="Use in this workbook"/>
    <x:tableColumn id="3" name="URL"/>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32ea93a24d3c45c1" /></Relationships>
</file>

<file path=xl/worksheets/_rels/sheet2.xml.rels>&#65279;<?xml version="1.0" encoding="utf-8"?><Relationships xmlns="http://schemas.openxmlformats.org/package/2006/relationships"><Relationship Type="http://schemas.openxmlformats.org/officeDocument/2006/relationships/table" Target="/xl/tables/table2.xml" Id="R6dc68ebfc6c04e8a" /></Relationships>
</file>

<file path=xl/worksheets/sheet1.xml><?xml version="1.0" encoding="utf-8"?>
<x:worksheet xmlns:x="http://schemas.openxmlformats.org/spreadsheetml/2006/main">
  <x:sheetFormatPr defaultRowHeight="15"/>
  <x:cols>
    <x:col min="1" max="1" width="19" hidden="0" customWidth="1"/>
    <x:col min="2" max="2" width="8" hidden="0" customWidth="1"/>
    <x:col min="3" max="3" width="13" hidden="0" customWidth="1"/>
    <x:col min="4" max="4" width="13" hidden="0" customWidth="1"/>
    <x:col min="5" max="5" width="13" hidden="0" customWidth="1"/>
    <x:col min="6" max="6" width="14" hidden="0" customWidth="1"/>
    <x:col min="7" max="7" width="22" hidden="0" customWidth="1"/>
    <x:col min="8" max="8" width="12" hidden="0" customWidth="1"/>
    <x:col min="9" max="9" width="32" hidden="0" customWidth="1"/>
    <x:col min="10" max="10" width="46" hidden="0" customWidth="1"/>
    <x:col min="11" max="11" width="34" hidden="0" customWidth="1"/>
    <x:col min="12" max="12" width="48" hidden="0" customWidth="1"/>
    <x:col min="13" max="13" width="42" hidden="0" customWidth="1"/>
  </x:cols>
  <x:sheetData>
    <x:row r="1" ht="28" customHeight="1">
      <x:c r="A1" s="5" t="str">
        <x:v>Secondary aluminium production estimates by country</x:v>
      </x:c>
      <x:c r="B1" s="5"/>
      <x:c r="C1" s="5"/>
      <x:c r="D1" s="5"/>
      <x:c r="E1" s="5"/>
      <x:c r="F1" s="5"/>
      <x:c r="G1" s="5"/>
      <x:c r="H1" s="5"/>
      <x:c r="I1" s="5"/>
      <x:c r="J1" s="5"/>
      <x:c r="K1" s="5"/>
      <x:c r="L1" s="5"/>
      <x:c r="M1" s="5"/>
    </x:row>
    <x:row r="2" ht="38" customHeight="1">
      <x:c r="A2" s="13" t="str">
        <x:v>Units: thousand metric tonnes (kt)</x:v>
      </x:c>
      <x:c r="B2" s="13"/>
      <x:c r="C2" s="13"/>
      <x:c r="D2" s="13" t="str">
        <x:v>Reference: 2024 or closest available year</x:v>
      </x:c>
      <x:c r="E2" s="13"/>
      <x:c r="F2" s="13"/>
      <x:c r="G2" s="13"/>
      <x:c r="H2" s="13" t="str">
        <x:v>Definitions are not fully harmonised; see Methodology.</x:v>
      </x:c>
      <x:c r="I2" s="13"/>
      <x:c r="J2" s="13"/>
      <x:c r="K2" s="13"/>
      <x:c r="L2" s="13"/>
      <x:c r="M2" s="13"/>
    </x:row>
    <x:row r="3" ht="22" customHeight="1">
      <x:c r="A3" s="30" t="str">
        <x:v>Countries</x:v>
      </x:c>
      <x:c r="B3" s="36" t="n">
        <x:f>COUNTA(B6:B53)</x:f>
        <x:v>48</x:v>
      </x:c>
      <x:c r="C3" s="30" t="str">
        <x:v>Point-estimate total (Mt)</x:v>
      </x:c>
      <x:c r="D3" s="48" t="n">
        <x:f>SUM(C6:C53)/1000</x:f>
        <x:v>34.5033</x:v>
      </x:c>
      <x:c r="E3" s="30" t="str">
        <x:v>High/medium-confidence rows</x:v>
      </x:c>
      <x:c r="F3" s="36" t="n">
        <x:f>COUNTIF(H6:H53,"High")+COUNTIF(H6:H53,"Medium")</x:f>
        <x:v>20</x:v>
      </x:c>
      <x:c r="G3" s="30" t="str">
        <x:v>Prepared</x:v>
      </x:c>
      <x:c r="H3" s="36" t="str">
        <x:v>31 July 2026</x:v>
      </x:c>
      <x:c r="I3" s="50"/>
      <x:c r="J3" s="50"/>
      <x:c r="K3" s="50"/>
      <x:c r="L3" s="50"/>
      <x:c r="M3" s="50"/>
    </x:row>
    <x:row r="4">
      <x:c r="A4" s="50"/>
      <x:c r="B4" s="50"/>
      <x:c r="C4" s="50"/>
      <x:c r="D4" s="50"/>
      <x:c r="E4" s="50"/>
      <x:c r="F4" s="50"/>
      <x:c r="G4" s="50"/>
      <x:c r="H4" s="50"/>
      <x:c r="I4" s="50"/>
      <x:c r="J4" s="50"/>
      <x:c r="K4" s="50"/>
      <x:c r="L4" s="50"/>
      <x:c r="M4" s="50"/>
    </x:row>
    <x:row r="5" ht="34" customHeight="1">
      <x:c r="A5" s="22" t="str">
        <x:v>Country</x:v>
      </x:c>
      <x:c r="B5" s="22" t="str">
        <x:v>ISO3</x:v>
      </x:c>
      <x:c r="C5" s="22" t="str">
        <x:v>Point estimate (kt)</x:v>
      </x:c>
      <x:c r="D5" s="22" t="str">
        <x:v>Low (kt)</x:v>
      </x:c>
      <x:c r="E5" s="22" t="str">
        <x:v>High (kt)</x:v>
      </x:c>
      <x:c r="F5" s="22" t="str">
        <x:v>Reference year</x:v>
      </x:c>
      <x:c r="G5" s="22" t="str">
        <x:v>Evidence class</x:v>
      </x:c>
      <x:c r="H5" s="22" t="str">
        <x:v>Confidence</x:v>
      </x:c>
      <x:c r="I5" s="22" t="str">
        <x:v>Definition / scope</x:v>
      </x:c>
      <x:c r="J5" s="22" t="str">
        <x:v>Estimation basis</x:v>
      </x:c>
      <x:c r="K5" s="22" t="str">
        <x:v>Primary source</x:v>
      </x:c>
      <x:c r="L5" s="22" t="str">
        <x:v>Source URL</x:v>
      </x:c>
      <x:c r="M5" s="22" t="str">
        <x:v>Key caveat</x:v>
      </x:c>
    </x:row>
    <x:row r="6" ht="62" customHeight="1">
      <x:c r="A6" s="44" t="str">
        <x:v>Argentina</x:v>
      </x:c>
      <x:c r="B6" s="44" t="str">
        <x:v>ARG</x:v>
      </x:c>
      <x:c r="C6" s="46" t="n">
        <x:v>100</x:v>
      </x:c>
      <x:c r="D6" s="46" t="n">
        <x:v>50</x:v>
      </x:c>
      <x:c r="E6" s="46" t="n">
        <x:v>160</x:v>
      </x:c>
      <x:c r="F6" s="40" t="str">
        <x:v>2024</x:v>
      </x:c>
      <x:c r="G6" s="40" t="str">
        <x:v>Proxy estimate</x:v>
      </x:c>
      <x:c r="H6" s="40" t="str">
        <x:v>Low</x:v>
      </x:c>
      <x:c r="I6" s="42" t="str">
        <x:v>Estimated secondary unwrought metal output from domestic scrap.</x:v>
      </x:c>
      <x:c r="J6" s="42" t="str">
        <x:v>No public national production series located. Estimate based on the scale of domestic aluminium use, scrap generation and identified remelting activity.</x:v>
      </x:c>
      <x:c r="K6" s="42" t="str">
        <x:v>International Aluminium Institute (IAI); public-source facility review</x:v>
      </x:c>
      <x:c r="L6" s="42" t="str">
        <x:v>https://alucycle.international-aluminium.org/public-access/</x:v>
      </x:c>
      <x:c r="M6" s="42" t="str">
        <x:v>Order-of-magnitude estimate; downstream foundry remelting may be incompletely captured.</x:v>
      </x:c>
    </x:row>
    <x:row r="7" ht="62" customHeight="1">
      <x:c r="A7" s="44" t="str">
        <x:v>Australia</x:v>
      </x:c>
      <x:c r="B7" s="44" t="str">
        <x:v>AUS</x:v>
      </x:c>
      <x:c r="C7" s="46" t="n">
        <x:v>5</x:v>
      </x:c>
      <x:c r="D7" s="46" t="n">
        <x:v>0</x:v>
      </x:c>
      <x:c r="E7" s="46" t="n">
        <x:v>20</x:v>
      </x:c>
      <x:c r="F7" s="40" t="str">
        <x:v>2024/25</x:v>
      </x:c>
      <x:c r="G7" s="40" t="str">
        <x:v>Structural proxy</x:v>
      </x:c>
      <x:c r="H7" s="40" t="str">
        <x:v>Medium</x:v>
      </x:c>
      <x:c r="I7" s="42" t="str">
        <x:v>Commercial secondary aluminium remelting within Australia.</x:v>
      </x:c>
      <x:c r="J7" s="42" t="str">
        <x:v>The Australian Aluminium Council reports that almost all domestic aluminium scrap (about 440 kt/y) is exported because Australia lacks significant domestic remelting capability.</x:v>
      </x:c>
      <x:c r="K7" s="42" t="str">
        <x:v>Australian Aluminium Council / L.E.K. Consulting</x:v>
      </x:c>
      <x:c r="L7" s="42" t="str">
        <x:v>https://aluminium.org.au/wp-content/uploads/2026/03/24_02-Enabling-Development-of-Aluminium-Recycling-Capability-in-Australia.pdf</x:v>
      </x:c>
      <x:c r="M7" s="42" t="str">
        <x:v>Small specialist and captive remelting may exist; the estimate is not a reported production total.</x:v>
      </x:c>
    </x:row>
    <x:row r="8" ht="62" customHeight="1">
      <x:c r="A8" s="44" t="str">
        <x:v>Austria</x:v>
      </x:c>
      <x:c r="B8" s="44" t="str">
        <x:v>AUT</x:v>
      </x:c>
      <x:c r="C8" s="46" t="n">
        <x:v>369</x:v>
      </x:c>
      <x:c r="D8" s="46" t="n">
        <x:v>340</x:v>
      </x:c>
      <x:c r="E8" s="46" t="n">
        <x:v>400</x:v>
      </x:c>
      <x:c r="F8" s="40" t="str">
        <x:v>2024</x:v>
      </x:c>
      <x:c r="G8" s="40" t="str">
        <x:v>PRODCOM-derived</x:v>
      </x:c>
      <x:c r="H8" s="40" t="str">
        <x:v>Medium</x:v>
      </x:c>
      <x:c r="I8" s="42" t="str">
        <x:v>Production of unwrought aluminium alloys used as a proxy for secondary output.</x:v>
      </x:c>
      <x:c r="J8" s="42" t="str">
        <x:v>Eurostat PRODCOM-derived 2024 output of unwrought aluminium alloys. Austria has no material primary smelting, but imported primary metal may also be remelted into alloys.</x:v>
      </x:c>
      <x:c r="K8" s="42" t="str">
        <x:v>Eurostat PRODCOM (reproduced by ReportLinker)</x:v>
      </x:c>
      <x:c r="L8" s="42" t="str">
        <x:v>https://www.reportlinker.com/dataset/9f313a5e98f5be737ef8aa13acd1098ec87eb202</x:v>
      </x:c>
      <x:c r="M8" s="42" t="str">
        <x:v>Not all unwrought alloy output is necessarily scrap-derived.</x:v>
      </x:c>
    </x:row>
    <x:row r="9" ht="62" customHeight="1">
      <x:c r="A9" s="44" t="str">
        <x:v>Azerbaijan</x:v>
      </x:c>
      <x:c r="B9" s="44" t="str">
        <x:v>AZE</x:v>
      </x:c>
      <x:c r="C9" s="46" t="n">
        <x:v>5</x:v>
      </x:c>
      <x:c r="D9" s="46" t="n">
        <x:v>0</x:v>
      </x:c>
      <x:c r="E9" s="46" t="n">
        <x:v>15</x:v>
      </x:c>
      <x:c r="F9" s="40" t="str">
        <x:v>2024</x:v>
      </x:c>
      <x:c r="G9" s="40" t="str">
        <x:v>Proxy estimate</x:v>
      </x:c>
      <x:c r="H9" s="40" t="str">
        <x:v>Low</x:v>
      </x:c>
      <x:c r="I9" s="42" t="str">
        <x:v>Estimated secondary unwrought metal output.</x:v>
      </x:c>
      <x:c r="J9" s="42" t="str">
        <x:v>No national secondary series or major dedicated remelter identified; a small allowance is retained for captive and foundry recycling.</x:v>
      </x:c>
      <x:c r="K9" s="42" t="str">
        <x:v>BGS World Mineral Production; IAI</x:v>
      </x:c>
      <x:c r="L9" s="42" t="str">
        <x:v>https://nora.nerc.ac.uk/id/eprint/541620/1/WMP_2020%20to%202024.pdf</x:v>
      </x:c>
      <x:c r="M9" s="42" t="str">
        <x:v>Azerbaijan's reported aluminium output is predominantly primary.</x:v>
      </x:c>
    </x:row>
    <x:row r="10" ht="62" customHeight="1">
      <x:c r="A10" s="44" t="str">
        <x:v>Bahrain</x:v>
      </x:c>
      <x:c r="B10" s="44" t="str">
        <x:v>BHR</x:v>
      </x:c>
      <x:c r="C10" s="46" t="n">
        <x:v>5</x:v>
      </x:c>
      <x:c r="D10" s="46" t="n">
        <x:v>0</x:v>
      </x:c>
      <x:c r="E10" s="46" t="n">
        <x:v>15</x:v>
      </x:c>
      <x:c r="F10" s="40" t="str">
        <x:v>2024</x:v>
      </x:c>
      <x:c r="G10" s="40" t="str">
        <x:v>Proxy estimate</x:v>
      </x:c>
      <x:c r="H10" s="40" t="str">
        <x:v>Low</x:v>
      </x:c>
      <x:c r="I10" s="42" t="str">
        <x:v>Estimated secondary unwrought metal output outside the primary smelter.</x:v>
      </x:c>
      <x:c r="J10" s="42" t="str">
        <x:v>No sizeable dedicated secondary producer identified in public sources for 2024; small captive recovery is assumed.</x:v>
      </x:c>
      <x:c r="K10" s="42" t="str">
        <x:v>International Aluminium Institute (IAI)</x:v>
      </x:c>
      <x:c r="L10" s="42" t="str">
        <x:v>https://alucycle.international-aluminium.org/public-access/</x:v>
      </x:c>
      <x:c r="M10" s="42" t="str">
        <x:v>Bahrain is principally a primary aluminium producer.</x:v>
      </x:c>
    </x:row>
    <x:row r="11" ht="62" customHeight="1">
      <x:c r="A11" s="44" t="str">
        <x:v>Belgium</x:v>
      </x:c>
      <x:c r="B11" s="44" t="str">
        <x:v>BEL</x:v>
      </x:c>
      <x:c r="C11" s="46" t="n">
        <x:v>490</x:v>
      </x:c>
      <x:c r="D11" s="46" t="n">
        <x:v>400</x:v>
      </x:c>
      <x:c r="E11" s="46" t="n">
        <x:v>550</x:v>
      </x:c>
      <x:c r="F11" s="40" t="str">
        <x:v>Recent estimate</x:v>
      </x:c>
      <x:c r="G11" s="40" t="str">
        <x:v>Industry estimate</x:v>
      </x:c>
      <x:c r="H11" s="40" t="str">
        <x:v>Medium</x:v>
      </x:c>
      <x:c r="I11" s="42" t="str">
        <x:v>Secondary aluminium production.</x:v>
      </x:c>
      <x:c r="J11" s="42" t="str">
        <x:v>Recent industry reporting identifies Belgium as producing about 490 kt of secondary aluminium; the precise statistical year and boundary are not fully disclosed.</x:v>
      </x:c>
      <x:c r="K11" s="42" t="str">
        <x:v>AL Circle industry reporting</x:v>
      </x:c>
      <x:c r="L11" s="42" t="str">
        <x:v>https://www.alcircle.com/news/secondary-aluminium-in-italy-france-and-belgium-65-kt-recycled-490-kt-produced-over-1-mt-processed-annually-119924</x:v>
      </x:c>
      <x:c r="M11" s="42" t="str">
        <x:v>The source is an industry synthesis rather than an official Belgian statistical series.</x:v>
      </x:c>
    </x:row>
    <x:row r="12" ht="62" customHeight="1">
      <x:c r="A12" s="44" t="str">
        <x:v>Brazil</x:v>
      </x:c>
      <x:c r="B12" s="44" t="str">
        <x:v>BRA</x:v>
      </x:c>
      <x:c r="C12" s="46" t="n">
        <x:v>1000</x:v>
      </x:c>
      <x:c r="D12" s="46" t="n">
        <x:v>950</x:v>
      </x:c>
      <x:c r="E12" s="46" t="n">
        <x:v>1050</x:v>
      </x:c>
      <x:c r="F12" s="40" t="str">
        <x:v>2024</x:v>
      </x:c>
      <x:c r="G12" s="40" t="str">
        <x:v>National industry estimate</x:v>
      </x:c>
      <x:c r="H12" s="40" t="str">
        <x:v>High</x:v>
      </x:c>
      <x:c r="I12" s="42" t="str">
        <x:v>Recycled aluminium embodied in aluminium products consumed in Brazil.</x:v>
      </x:c>
      <x:c r="J12" s="42" t="str">
        <x:v>ABAL reports that about 1 Mt, or 57% of aluminium products consumed in Brazil in 2024, came from recycled metal.</x:v>
      </x:c>
      <x:c r="K12" s="42" t="str">
        <x:v>Associação Brasileira do Alumínio (ABAL)</x:v>
      </x:c>
      <x:c r="L12" s="42" t="str">
        <x:v>https://abal.org.br/wp-content/uploads/2026/05/anuario-estatistico-abal-2024.pdf</x:v>
      </x:c>
      <x:c r="M12" s="42" t="str">
        <x:v>This is recycled-metal supply/content rather than a narrowly defined secondary-ingot production series.</x:v>
      </x:c>
    </x:row>
    <x:row r="13" ht="62" customHeight="1">
      <x:c r="A13" s="44" t="str">
        <x:v>Bulgaria</x:v>
      </x:c>
      <x:c r="B13" s="44" t="str">
        <x:v>BGR</x:v>
      </x:c>
      <x:c r="C13" s="46" t="n">
        <x:v>20</x:v>
      </x:c>
      <x:c r="D13" s="46" t="n">
        <x:v>5</x:v>
      </x:c>
      <x:c r="E13" s="46" t="n">
        <x:v>40</x:v>
      </x:c>
      <x:c r="F13" s="40" t="str">
        <x:v>2024</x:v>
      </x:c>
      <x:c r="G13" s="40" t="str">
        <x:v>PRODCOM-informed proxy</x:v>
      </x:c>
      <x:c r="H13" s="40" t="str">
        <x:v>Low</x:v>
      </x:c>
      <x:c r="I13" s="42" t="str">
        <x:v>Estimated secondary unwrought aluminium output.</x:v>
      </x:c>
      <x:c r="J13" s="42" t="str">
        <x:v>Eurostat indicates only minimal unwrought aluminium production; the midpoint reflects small remelting and alloying operations.</x:v>
      </x:c>
      <x:c r="K13" s="42" t="str">
        <x:v>Eurostat PRODCOM (reproduced by ReportLinker)</x:v>
      </x:c>
      <x:c r="L13" s="42" t="str">
        <x:v>https://www.reportlinker.com/dataset/f4b3dfee553dbe63465f691df20662ee9179fa64</x:v>
      </x:c>
      <x:c r="M13" s="42" t="str">
        <x:v>Public data are sparse and may be confidential at product level.</x:v>
      </x:c>
    </x:row>
    <x:row r="14" ht="62" customHeight="1">
      <x:c r="A14" s="44" t="str">
        <x:v>Cameroon</x:v>
      </x:c>
      <x:c r="B14" s="44" t="str">
        <x:v>CMR</x:v>
      </x:c>
      <x:c r="C14" s="46" t="n">
        <x:v>2</x:v>
      </x:c>
      <x:c r="D14" s="46" t="n">
        <x:v>0</x:v>
      </x:c>
      <x:c r="E14" s="46" t="n">
        <x:v>5</x:v>
      </x:c>
      <x:c r="F14" s="40" t="str">
        <x:v>2024</x:v>
      </x:c>
      <x:c r="G14" s="40" t="str">
        <x:v>Proxy estimate</x:v>
      </x:c>
      <x:c r="H14" s="40" t="str">
        <x:v>Low</x:v>
      </x:c>
      <x:c r="I14" s="42" t="str">
        <x:v>Estimated secondary unwrought output.</x:v>
      </x:c>
      <x:c r="J14" s="42" t="str">
        <x:v>No commercial-scale secondary producer identified; a small allowance is retained for captive/foundry remelting.</x:v>
      </x:c>
      <x:c r="K14" s="42" t="str">
        <x:v>International Aluminium Institute (IAI)</x:v>
      </x:c>
      <x:c r="L14" s="42" t="str">
        <x:v>https://alucycle.international-aluminium.org/public-access/</x:v>
      </x:c>
      <x:c r="M14" s="42" t="str">
        <x:v>Cameroon's formal aluminium industry is centred on primary smelting.</x:v>
      </x:c>
    </x:row>
    <x:row r="15" ht="62" customHeight="1">
      <x:c r="A15" s="44" t="str">
        <x:v>Canada</x:v>
      </x:c>
      <x:c r="B15" s="44" t="str">
        <x:v>CAN</x:v>
      </x:c>
      <x:c r="C15" s="46" t="n">
        <x:v>450</x:v>
      </x:c>
      <x:c r="D15" s="46" t="n">
        <x:v>300</x:v>
      </x:c>
      <x:c r="E15" s="46" t="n">
        <x:v>600</x:v>
      </x:c>
      <x:c r="F15" s="40" t="str">
        <x:v>2024</x:v>
      </x:c>
      <x:c r="G15" s="40" t="str">
        <x:v>Industry-structure proxy</x:v>
      </x:c>
      <x:c r="H15" s="40" t="str">
        <x:v>Low</x:v>
      </x:c>
      <x:c r="I15" s="42" t="str">
        <x:v>Estimated aluminium recovered from scrap and cast as secondary metal.</x:v>
      </x:c>
      <x:c r="J15" s="42" t="str">
        <x:v>National surveys cover smelters and refineries, but a public 2024 secondary total was not located. Estimate reflects identified remelting capacity and North American scrap flows.</x:v>
      </x:c>
      <x:c r="K15" s="42" t="str">
        <x:v>Statistics Canada; IAI</x:v>
      </x:c>
      <x:c r="L15" s="42" t="str">
        <x:v>https://www23.statcan.gc.ca/imdb/p3Instr.pl?Function=assembleInstr&amp;Item_Id=1533557&amp;a=1&amp;lang=en&amp;wbdisable=true</x:v>
      </x:c>
      <x:c r="M15" s="42" t="str">
        <x:v>Canada's much larger primary output is excluded; boundary with downstream remelting is uncertain.</x:v>
      </x:c>
    </x:row>
    <x:row r="16" ht="62" customHeight="1">
      <x:c r="A16" s="44" t="str">
        <x:v>China</x:v>
      </x:c>
      <x:c r="B16" s="44" t="str">
        <x:v>CHN</x:v>
      </x:c>
      <x:c r="C16" s="46" t="n">
        <x:v>15840</x:v>
      </x:c>
      <x:c r="D16" s="46" t="n">
        <x:v>15000</x:v>
      </x:c>
      <x:c r="E16" s="46" t="n">
        <x:v>16500</x:v>
      </x:c>
      <x:c r="F16" s="40" t="str">
        <x:v>2024</x:v>
      </x:c>
      <x:c r="G16" s="40" t="str">
        <x:v>National industry estimate</x:v>
      </x:c>
      <x:c r="H16" s="40" t="str">
        <x:v>Medium</x:v>
      </x:c>
      <x:c r="I16" s="42" t="str">
        <x:v>Secondary/recycled aluminium production.</x:v>
      </x:c>
      <x:c r="J16" s="42" t="str">
        <x:v>Industry estimate for China's 2024 recycled aluminium output.</x:v>
      </x:c>
      <x:c r="K16" s="42" t="str">
        <x:v>Aluminium China / Mysteel industry reporting</x:v>
      </x:c>
      <x:c r="L16" s="42" t="str">
        <x:v>https://www.aluminiumchina.com/en-gb/news-center/industry-news/2025/12/9.html</x:v>
      </x:c>
      <x:c r="M16" s="42" t="str">
        <x:v>China has no single fully transparent public national series; industry definitions can differ.</x:v>
      </x:c>
    </x:row>
    <x:row r="17" ht="62" customHeight="1">
      <x:c r="A17" s="44" t="str">
        <x:v>Czechia</x:v>
      </x:c>
      <x:c r="B17" s="44" t="str">
        <x:v>CZE</x:v>
      </x:c>
      <x:c r="C17" s="46" t="n">
        <x:v>80</x:v>
      </x:c>
      <x:c r="D17" s="46" t="n">
        <x:v>50</x:v>
      </x:c>
      <x:c r="E17" s="46" t="n">
        <x:v>100</x:v>
      </x:c>
      <x:c r="F17" s="40" t="str">
        <x:v>2024</x:v>
      </x:c>
      <x:c r="G17" s="40" t="str">
        <x:v>PRODCOM-informed proxy</x:v>
      </x:c>
      <x:c r="H17" s="40" t="str">
        <x:v>Low</x:v>
      </x:c>
      <x:c r="I17" s="42" t="str">
        <x:v>Estimated secondary unwrought aluminium output.</x:v>
      </x:c>
      <x:c r="J17" s="42" t="str">
        <x:v>Eurostat reports Czech unwrought output below 0.1 Mt; with no primary smelting, this provides an upper-bound proxy for secondary production.</x:v>
      </x:c>
      <x:c r="K17" s="42" t="str">
        <x:v>Eurostat PRODCOM (reproduced by ReportLinker)</x:v>
      </x:c>
      <x:c r="L17" s="42" t="str">
        <x:v>https://www.reportlinker.com/dataset/f4b3dfee553dbe63465f691df20662ee9179fa64</x:v>
      </x:c>
      <x:c r="M17" s="42" t="str">
        <x:v>May include remelting of imported primary metal.</x:v>
      </x:c>
    </x:row>
    <x:row r="18" ht="62" customHeight="1">
      <x:c r="A18" s="44" t="str">
        <x:v>Egypt</x:v>
      </x:c>
      <x:c r="B18" s="44" t="str">
        <x:v>EGY</x:v>
      </x:c>
      <x:c r="C18" s="46" t="n">
        <x:v>80</x:v>
      </x:c>
      <x:c r="D18" s="46" t="n">
        <x:v>40</x:v>
      </x:c>
      <x:c r="E18" s="46" t="n">
        <x:v>130</x:v>
      </x:c>
      <x:c r="F18" s="40" t="str">
        <x:v>2024</x:v>
      </x:c>
      <x:c r="G18" s="40" t="str">
        <x:v>Proxy estimate</x:v>
      </x:c>
      <x:c r="H18" s="40" t="str">
        <x:v>Low</x:v>
      </x:c>
      <x:c r="I18" s="42" t="str">
        <x:v>Estimated secondary unwrought output.</x:v>
      </x:c>
      <x:c r="J18" s="42" t="str">
        <x:v>No public national series located; estimate reflects domestic casting/remelting activity and aluminium scrap availability.</x:v>
      </x:c>
      <x:c r="K18" s="42" t="str">
        <x:v>International Aluminium Institute (IAI); public-source facility review</x:v>
      </x:c>
      <x:c r="L18" s="42" t="str">
        <x:v>https://alucycle.international-aluminium.org/public-access/</x:v>
      </x:c>
      <x:c r="M18" s="42" t="str">
        <x:v>Order-of-magnitude estimate.</x:v>
      </x:c>
    </x:row>
    <x:row r="19" ht="62" customHeight="1">
      <x:c r="A19" s="44" t="str">
        <x:v>France</x:v>
      </x:c>
      <x:c r="B19" s="44" t="str">
        <x:v>FRA</x:v>
      </x:c>
      <x:c r="C19" s="46" t="n">
        <x:v>140</x:v>
      </x:c>
      <x:c r="D19" s="46" t="n">
        <x:v>100</x:v>
      </x:c>
      <x:c r="E19" s="46" t="n">
        <x:v>220</x:v>
      </x:c>
      <x:c r="F19" s="40" t="str">
        <x:v>2024</x:v>
      </x:c>
      <x:c r="G19" s="40" t="str">
        <x:v>PRODCOM-minus-primary</x:v>
      </x:c>
      <x:c r="H19" s="40" t="str">
        <x:v>Medium</x:v>
      </x:c>
      <x:c r="I19" s="42" t="str">
        <x:v>Residual unwrought aluminium output after subtracting reported primary production.</x:v>
      </x:c>
      <x:c r="J19" s="42" t="str">
        <x:v>Eurostat-derived total unwrought production (about 566 kt) less BGS primary production (429 kt) gives about 137 kt.</x:v>
      </x:c>
      <x:c r="K19" s="42" t="str">
        <x:v>Eurostat PRODCOM; British Geological Survey</x:v>
      </x:c>
      <x:c r="L19" s="42" t="str">
        <x:v>https://www.reportlinker.com/dataset/f4b3dfee553dbe63465f691df20662ee9179fa64</x:v>
      </x:c>
      <x:c r="M19" s="42" t="str">
        <x:v>Residual is not a pure scrap-based measure and can be affected by stock changes, alloy additions and reporting scope.</x:v>
      </x:c>
    </x:row>
    <x:row r="20" ht="62" customHeight="1">
      <x:c r="A20" s="44" t="str">
        <x:v>Germany</x:v>
      </x:c>
      <x:c r="B20" s="44" t="str">
        <x:v>DEU</x:v>
      </x:c>
      <x:c r="C20" s="46" t="n">
        <x:v>2741.3</x:v>
      </x:c>
      <x:c r="D20" s="46" t="n">
        <x:v>2741.3</x:v>
      </x:c>
      <x:c r="E20" s="46" t="n">
        <x:v>2741.3</x:v>
      </x:c>
      <x:c r="F20" s="40" t="str">
        <x:v>2024</x:v>
      </x:c>
      <x:c r="G20" s="40" t="str">
        <x:v>Reported national industry data</x:v>
      </x:c>
      <x:c r="H20" s="40" t="str">
        <x:v>High</x:v>
      </x:c>
      <x:c r="I20" s="42" t="str">
        <x:v>Secondary aluminium production by refiners and remelters.</x:v>
      </x:c>
      <x:c r="J20" s="42" t="str">
        <x:v>Aluminium Deutschland reported 2,741,332 tonnes in 2024.</x:v>
      </x:c>
      <x:c r="K20" s="42" t="str">
        <x:v>Aluminium Deutschland, reported by International Aluminium Journal</x:v>
      </x:c>
      <x:c r="L20" s="42" t="str">
        <x:v>https://www.aluminium-journal.de/2024-schwieriges-jahr-fuer-die-deutsche-aluminiumindustrie</x:v>
      </x:c>
      <x:c r="M20" s="42" t="str">
        <x:v>Closest match to the requested production concept.</x:v>
      </x:c>
    </x:row>
    <x:row r="21" ht="62" customHeight="1">
      <x:c r="A21" s="44" t="str">
        <x:v>Ghana</x:v>
      </x:c>
      <x:c r="B21" s="44" t="str">
        <x:v>GHA</x:v>
      </x:c>
      <x:c r="C21" s="46" t="n">
        <x:v>2</x:v>
      </x:c>
      <x:c r="D21" s="46" t="n">
        <x:v>0</x:v>
      </x:c>
      <x:c r="E21" s="46" t="n">
        <x:v>5</x:v>
      </x:c>
      <x:c r="F21" s="40" t="str">
        <x:v>2024</x:v>
      </x:c>
      <x:c r="G21" s="40" t="str">
        <x:v>Proxy estimate</x:v>
      </x:c>
      <x:c r="H21" s="40" t="str">
        <x:v>Low</x:v>
      </x:c>
      <x:c r="I21" s="42" t="str">
        <x:v>Estimated secondary unwrought output.</x:v>
      </x:c>
      <x:c r="J21" s="42" t="str">
        <x:v>No commercial-scale secondary producer identified; small captive/foundry recycling allowance.</x:v>
      </x:c>
      <x:c r="K21" s="42" t="str">
        <x:v>International Aluminium Institute (IAI)</x:v>
      </x:c>
      <x:c r="L21" s="42" t="str">
        <x:v>https://alucycle.international-aluminium.org/public-access/</x:v>
      </x:c>
      <x:c r="M21" s="42" t="str">
        <x:v>Ghana's formal aluminium output is primarily associated with VALCO primary smelting.</x:v>
      </x:c>
    </x:row>
    <x:row r="22" ht="62" customHeight="1">
      <x:c r="A22" s="44" t="str">
        <x:v>Hungary</x:v>
      </x:c>
      <x:c r="B22" s="44" t="str">
        <x:v>HUN</x:v>
      </x:c>
      <x:c r="C22" s="46" t="n">
        <x:v>100</x:v>
      </x:c>
      <x:c r="D22" s="46" t="n">
        <x:v>70</x:v>
      </x:c>
      <x:c r="E22" s="46" t="n">
        <x:v>150</x:v>
      </x:c>
      <x:c r="F22" s="40" t="str">
        <x:v>2024/25</x:v>
      </x:c>
      <x:c r="G22" s="40" t="str">
        <x:v>Capacity-derived estimate</x:v>
      </x:c>
      <x:c r="H22" s="40" t="str">
        <x:v>Medium</x:v>
      </x:c>
      <x:c r="I22" s="42" t="str">
        <x:v>Secondary aluminium output inferred from identified recycling capacity.</x:v>
      </x:c>
      <x:c r="J22" s="42" t="str">
        <x:v>Hydro opened a 90 kt/y recycling plant at Székesfehérvár in September 2024. The midpoint allows for other established remelting activity but does not assume full-year operation of the new plant in 2024.</x:v>
      </x:c>
      <x:c r="K22" s="42" t="str">
        <x:v>Norsk Hydro</x:v>
      </x:c>
      <x:c r="L22" s="42" t="str">
        <x:v>https://www.hydro.com/en/global/media/news/2024/hydro-opens-new-aluminium-recycling-plant-in-hungary/</x:v>
      </x:c>
      <x:c r="M22" s="42" t="str">
        <x:v>The estimate reflects current productive scale rather than directly reported calendar-year output.</x:v>
      </x:c>
    </x:row>
    <x:row r="23" ht="62" customHeight="1">
      <x:c r="A23" s="44" t="str">
        <x:v>India</x:v>
      </x:c>
      <x:c r="B23" s="44" t="str">
        <x:v>IND</x:v>
      </x:c>
      <x:c r="C23" s="46" t="n">
        <x:v>1700</x:v>
      </x:c>
      <x:c r="D23" s="46" t="n">
        <x:v>1500</x:v>
      </x:c>
      <x:c r="E23" s="46" t="n">
        <x:v>2000</x:v>
      </x:c>
      <x:c r="F23" s="40" t="str">
        <x:v>FY2023/24</x:v>
      </x:c>
      <x:c r="G23" s="40" t="str">
        <x:v>Capacity-derived estimate</x:v>
      </x:c>
      <x:c r="H23" s="40" t="str">
        <x:v>Medium</x:v>
      </x:c>
      <x:c r="I23" s="42" t="str">
        <x:v>Secondary aluminium output inferred from installed capacity.</x:v>
      </x:c>
      <x:c r="J23" s="42" t="str">
        <x:v>India's Ministry of Mines reports about 2.0 Mt/y of secondary production capacity in FY2023/24; midpoint assumes roughly 85% utilisation.</x:v>
      </x:c>
      <x:c r="K23" s="42" t="str">
        <x:v>Ministry of Mines, Government of India</x:v>
      </x:c>
      <x:c r="L23" s="42" t="str">
        <x:v>https://mines.gov.in/admin/download/686b72a13ed1e1751872161.pdf</x:v>
      </x:c>
      <x:c r="M23" s="42" t="str">
        <x:v>Capacity is reported, not actual output; the fragmented informal sector adds uncertainty.</x:v>
      </x:c>
    </x:row>
    <x:row r="24" ht="62" customHeight="1">
      <x:c r="A24" s="44" t="str">
        <x:v>Indonesia</x:v>
      </x:c>
      <x:c r="B24" s="44" t="str">
        <x:v>IDN</x:v>
      </x:c>
      <x:c r="C24" s="46" t="n">
        <x:v>300</x:v>
      </x:c>
      <x:c r="D24" s="46" t="n">
        <x:v>150</x:v>
      </x:c>
      <x:c r="E24" s="46" t="n">
        <x:v>500</x:v>
      </x:c>
      <x:c r="F24" s="40" t="str">
        <x:v>2024</x:v>
      </x:c>
      <x:c r="G24" s="40" t="str">
        <x:v>Market-balance proxy</x:v>
      </x:c>
      <x:c r="H24" s="40" t="str">
        <x:v>Low</x:v>
      </x:c>
      <x:c r="I24" s="42" t="str">
        <x:v>Estimated secondary unwrought aluminium output.</x:v>
      </x:c>
      <x:c r="J24" s="42" t="str">
        <x:v>Estimate reflects domestic demand, import dependence and identified recycling/casting activity; no national secondary series located.</x:v>
      </x:c>
      <x:c r="K24" s="42" t="str">
        <x:v>Reuters; IAI</x:v>
      </x:c>
      <x:c r="L24" s="42" t="str">
        <x:v>https://www.reuters.com/markets/commodities/indonesia-launches-941-mln-smelter-grade-alumina-refinery-2024-09-24/</x:v>
      </x:c>
      <x:c r="M24" s="42" t="str">
        <x:v>Rapidly changing primary capacity and uncertain informal recycling make this especially approximate.</x:v>
      </x:c>
    </x:row>
    <x:row r="25" ht="62" customHeight="1">
      <x:c r="A25" s="44" t="str">
        <x:v>Iran</x:v>
      </x:c>
      <x:c r="B25" s="44" t="str">
        <x:v>IRN</x:v>
      </x:c>
      <x:c r="C25" s="46" t="n">
        <x:v>150</x:v>
      </x:c>
      <x:c r="D25" s="46" t="n">
        <x:v>80</x:v>
      </x:c>
      <x:c r="E25" s="46" t="n">
        <x:v>250</x:v>
      </x:c>
      <x:c r="F25" s="40" t="str">
        <x:v>2024</x:v>
      </x:c>
      <x:c r="G25" s="40" t="str">
        <x:v>Proxy estimate</x:v>
      </x:c>
      <x:c r="H25" s="40" t="str">
        <x:v>Low</x:v>
      </x:c>
      <x:c r="I25" s="42" t="str">
        <x:v>Estimated secondary unwrought aluminium output.</x:v>
      </x:c>
      <x:c r="J25" s="42" t="str">
        <x:v>No transparent national secondary series located; estimate based on domestic industrial scale and identified remelting activity.</x:v>
      </x:c>
      <x:c r="K25" s="42" t="str">
        <x:v>International Aluminium Institute (IAI); public-source facility review</x:v>
      </x:c>
      <x:c r="L25" s="42" t="str">
        <x:v>https://alucycle.international-aluminium.org/public-access/</x:v>
      </x:c>
      <x:c r="M25" s="42" t="str">
        <x:v>Sanctions and limited disclosure increase uncertainty.</x:v>
      </x:c>
    </x:row>
    <x:row r="26" ht="62" customHeight="1">
      <x:c r="A26" s="44" t="str">
        <x:v>Italy</x:v>
      </x:c>
      <x:c r="B26" s="44" t="str">
        <x:v>ITA</x:v>
      </x:c>
      <x:c r="C26" s="46" t="n">
        <x:v>1000</x:v>
      </x:c>
      <x:c r="D26" s="46" t="n">
        <x:v>950</x:v>
      </x:c>
      <x:c r="E26" s="46" t="n">
        <x:v>1100</x:v>
      </x:c>
      <x:c r="F26" s="40" t="str">
        <x:v>2024 estimate</x:v>
      </x:c>
      <x:c r="G26" s="40" t="str">
        <x:v>Industry benchmark extrapolation</x:v>
      </x:c>
      <x:c r="H26" s="40" t="str">
        <x:v>Medium</x:v>
      </x:c>
      <x:c r="I26" s="42" t="str">
        <x:v>Secondary aluminium production.</x:v>
      </x:c>
      <x:c r="J26" s="42" t="str">
        <x:v>Anchored to the widely reported Assomet figure of 954 kt in 2021 and cross-checked against higher 2024 Eurostat unwrought-alloy output.</x:v>
      </x:c>
      <x:c r="K26" s="42" t="str">
        <x:v>Assomet figure reproduced in industry reporting; Eurostat PRODCOM</x:v>
      </x:c>
      <x:c r="L26" s="42" t="str">
        <x:v>https://discoveryalert.com.au/secondary-aluminium-italy-france-belgium-energy-economics/</x:v>
      </x:c>
      <x:c r="M26" s="42" t="str">
        <x:v>The 2024 midpoint is an extrapolation; gross unwrought alloy production also uses imported primary metal.</x:v>
      </x:c>
    </x:row>
    <x:row r="27" ht="62" customHeight="1">
      <x:c r="A27" s="44" t="str">
        <x:v>Japan</x:v>
      </x:c>
      <x:c r="B27" s="44" t="str">
        <x:v>JPN</x:v>
      </x:c>
      <x:c r="C27" s="46" t="n">
        <x:v>695</x:v>
      </x:c>
      <x:c r="D27" s="46" t="n">
        <x:v>680</x:v>
      </x:c>
      <x:c r="E27" s="46" t="n">
        <x:v>710</x:v>
      </x:c>
      <x:c r="F27" s="40" t="str">
        <x:v>2024</x:v>
      </x:c>
      <x:c r="G27" s="40" t="str">
        <x:v>Partial-year annualised</x:v>
      </x:c>
      <x:c r="H27" s="40" t="str">
        <x:v>Medium</x:v>
      </x:c>
      <x:c r="I27" s="42" t="str">
        <x:v>Secondary aluminium and secondary alloy production.</x:v>
      </x:c>
      <x:c r="J27" s="42" t="str">
        <x:v>January-November 2024 output of 637 kt annualised to approximately 695 kt.</x:v>
      </x:c>
      <x:c r="K27" s="42" t="str">
        <x:v>Japan Aluminium Association data reported by Argus Media</x:v>
      </x:c>
      <x:c r="L27" s="42" t="str">
        <x:v>https://www.argusmedia.com/en/news-and-insights/latest-market-news/2653056-japan-s-primary-aluminium-imports-rise-in-2024</x:v>
      </x:c>
      <x:c r="M27" s="42" t="str">
        <x:v>Annualisation assumes December broadly follows the January-November average.</x:v>
      </x:c>
    </x:row>
    <x:row r="28" ht="62" customHeight="1">
      <x:c r="A28" s="44" t="str">
        <x:v>Kazakhstan</x:v>
      </x:c>
      <x:c r="B28" s="44" t="str">
        <x:v>KAZ</x:v>
      </x:c>
      <x:c r="C28" s="46" t="n">
        <x:v>30</x:v>
      </x:c>
      <x:c r="D28" s="46" t="n">
        <x:v>10</x:v>
      </x:c>
      <x:c r="E28" s="46" t="n">
        <x:v>60</x:v>
      </x:c>
      <x:c r="F28" s="40" t="str">
        <x:v>2024</x:v>
      </x:c>
      <x:c r="G28" s="40" t="str">
        <x:v>Proxy estimate</x:v>
      </x:c>
      <x:c r="H28" s="40" t="str">
        <x:v>Low</x:v>
      </x:c>
      <x:c r="I28" s="42" t="str">
        <x:v>Estimated secondary unwrought output.</x:v>
      </x:c>
      <x:c r="J28" s="42" t="str">
        <x:v>Small allowance for domestic remelting relative to Kazakhstan's primary aluminium industry.</x:v>
      </x:c>
      <x:c r="K28" s="42" t="str">
        <x:v>International Aluminium Institute (IAI); public-source facility review</x:v>
      </x:c>
      <x:c r="L28" s="42" t="str">
        <x:v>https://alucycle.international-aluminium.org/public-access/</x:v>
      </x:c>
      <x:c r="M28" s="42" t="str">
        <x:v>No national secondary production series located.</x:v>
      </x:c>
    </x:row>
    <x:row r="29" ht="62" customHeight="1">
      <x:c r="A29" s="44" t="str">
        <x:v>Malaysia</x:v>
      </x:c>
      <x:c r="B29" s="44" t="str">
        <x:v>MYS</x:v>
      </x:c>
      <x:c r="C29" s="46" t="n">
        <x:v>650</x:v>
      </x:c>
      <x:c r="D29" s="46" t="n">
        <x:v>500</x:v>
      </x:c>
      <x:c r="E29" s="46" t="n">
        <x:v>900</x:v>
      </x:c>
      <x:c r="F29" s="40" t="str">
        <x:v>2024</x:v>
      </x:c>
      <x:c r="G29" s="40" t="str">
        <x:v>Trade- and facility-derived estimate</x:v>
      </x:c>
      <x:c r="H29" s="40" t="str">
        <x:v>Low</x:v>
      </x:c>
      <x:c r="I29" s="42" t="str">
        <x:v>Estimated secondary alloy-ingot and recycled aluminium production.</x:v>
      </x:c>
      <x:c r="J29" s="42" t="str">
        <x:v>Malaysia is a major Southeast Asian scrap-processing hub. The estimate is anchored to large alloy-ingot shipments to China and 2024 aluminium scrap imports of about 287 kt, with allowance for other feedstocks and destinations.</x:v>
      </x:c>
      <x:c r="K29" s="42" t="str">
        <x:v>SMM / Mysteel industry and customs reporting</x:v>
      </x:c>
      <x:c r="L29" s="42" t="str">
        <x:v>https://www.mysteel.net/news/5104083-from-scrap-to-strength-why-global-aluminum-scrap-is-flowing-into-southeast-asia</x:v>
      </x:c>
      <x:c r="M29" s="42" t="str">
        <x:v>Trade may include re-exports and imported primary metal; no consolidated national production series was located.</x:v>
      </x:c>
    </x:row>
    <x:row r="30" ht="62" customHeight="1">
      <x:c r="A30" s="44" t="str">
        <x:v>Mexico</x:v>
      </x:c>
      <x:c r="B30" s="44" t="str">
        <x:v>MEX</x:v>
      </x:c>
      <x:c r="C30" s="46" t="n">
        <x:v>650</x:v>
      </x:c>
      <x:c r="D30" s="46" t="n">
        <x:v>500</x:v>
      </x:c>
      <x:c r="E30" s="46" t="n">
        <x:v>850</x:v>
      </x:c>
      <x:c r="F30" s="40" t="str">
        <x:v>2024</x:v>
      </x:c>
      <x:c r="G30" s="40" t="str">
        <x:v>Market-balance proxy</x:v>
      </x:c>
      <x:c r="H30" s="40" t="str">
        <x:v>Low</x:v>
      </x:c>
      <x:c r="I30" s="42" t="str">
        <x:v>Estimated secondary aluminium output.</x:v>
      </x:c>
      <x:c r="J30" s="42" t="str">
        <x:v>Mexico has no primary aluminium smelting and a large automotive/casting base; estimate combines domestic scrap use, imports and identified remelting capacity.</x:v>
      </x:c>
      <x:c r="K30" s="42" t="str">
        <x:v>Shanghai Metals Market (SMM) industry analysis</x:v>
      </x:c>
      <x:c r="L30" s="42" t="str">
        <x:v>https://news.metal.com/newscontent/103540505-smm-analysis-global-aluminium-scrap-market-series-2-mexicos-supply-shortage---rising-prices-and-new-markets</x:v>
      </x:c>
      <x:c r="M30" s="42" t="str">
        <x:v>No consolidated national production statistic was found.</x:v>
      </x:c>
    </x:row>
    <x:row r="31" ht="62" customHeight="1">
      <x:c r="A31" s="44" t="str">
        <x:v>Mozambique</x:v>
      </x:c>
      <x:c r="B31" s="44" t="str">
        <x:v>MOZ</x:v>
      </x:c>
      <x:c r="C31" s="46" t="n">
        <x:v>2</x:v>
      </x:c>
      <x:c r="D31" s="46" t="n">
        <x:v>0</x:v>
      </x:c>
      <x:c r="E31" s="46" t="n">
        <x:v>5</x:v>
      </x:c>
      <x:c r="F31" s="40" t="str">
        <x:v>2024</x:v>
      </x:c>
      <x:c r="G31" s="40" t="str">
        <x:v>Proxy estimate</x:v>
      </x:c>
      <x:c r="H31" s="40" t="str">
        <x:v>Low</x:v>
      </x:c>
      <x:c r="I31" s="42" t="str">
        <x:v>Estimated secondary unwrought output.</x:v>
      </x:c>
      <x:c r="J31" s="42" t="str">
        <x:v>No sizeable secondary producer identified; small captive/foundry allowance.</x:v>
      </x:c>
      <x:c r="K31" s="42" t="str">
        <x:v>International Aluminium Institute (IAI)</x:v>
      </x:c>
      <x:c r="L31" s="42" t="str">
        <x:v>https://alucycle.international-aluminium.org/public-access/</x:v>
      </x:c>
      <x:c r="M31" s="42" t="str">
        <x:v>Mozal is a primary smelter and is excluded.</x:v>
      </x:c>
    </x:row>
    <x:row r="32" ht="62" customHeight="1">
      <x:c r="A32" s="44" t="str">
        <x:v>Netherlands</x:v>
      </x:c>
      <x:c r="B32" s="44" t="str">
        <x:v>NLD</x:v>
      </x:c>
      <x:c r="C32" s="46" t="n">
        <x:v>180</x:v>
      </x:c>
      <x:c r="D32" s="46" t="n">
        <x:v>100</x:v>
      </x:c>
      <x:c r="E32" s="46" t="n">
        <x:v>300</x:v>
      </x:c>
      <x:c r="F32" s="40" t="str">
        <x:v>2024 estimate</x:v>
      </x:c>
      <x:c r="G32" s="40" t="str">
        <x:v>Facility-derived estimate</x:v>
      </x:c>
      <x:c r="H32" s="40" t="str">
        <x:v>Low</x:v>
      </x:c>
      <x:c r="I32" s="42" t="str">
        <x:v>Estimated secondary aluminium output.</x:v>
      </x:c>
      <x:c r="J32" s="42" t="str">
        <x:v>Dutch industrial research identifies E-MAX and Zalco as the main secondary producers. The midpoint reflects their known casting/remelting scale and other smaller operations.</x:v>
      </x:c>
      <x:c r="K32" s="42" t="str">
        <x:v>PBL/TNO MIDDEN industrial research</x:v>
      </x:c>
      <x:c r="L32" s="42" t="str">
        <x:v>https://energy.nl/publications/opties-voor-decarbonisatie-van-de-nederlandse-aluminiumindustrie/</x:v>
      </x:c>
      <x:c r="M32" s="42" t="str">
        <x:v>No current consolidated national tonnage was located; company capacity utilisation is uncertain.</x:v>
      </x:c>
    </x:row>
    <x:row r="33" ht="62" customHeight="1">
      <x:c r="A33" s="44" t="str">
        <x:v>New Zealand</x:v>
      </x:c>
      <x:c r="B33" s="44" t="str">
        <x:v>NZL</x:v>
      </x:c>
      <x:c r="C33" s="46" t="n">
        <x:v>20</x:v>
      </x:c>
      <x:c r="D33" s="46" t="n">
        <x:v>5</x:v>
      </x:c>
      <x:c r="E33" s="46" t="n">
        <x:v>40</x:v>
      </x:c>
      <x:c r="F33" s="40" t="str">
        <x:v>2024</x:v>
      </x:c>
      <x:c r="G33" s="40" t="str">
        <x:v>Proxy estimate</x:v>
      </x:c>
      <x:c r="H33" s="40" t="str">
        <x:v>Low</x:v>
      </x:c>
      <x:c r="I33" s="42" t="str">
        <x:v>Estimated secondary unwrought output.</x:v>
      </x:c>
      <x:c r="J33" s="42" t="str">
        <x:v>Estimate reflects small domestic remelting activity and scrap generation; no national production series located.</x:v>
      </x:c>
      <x:c r="K33" s="42" t="str">
        <x:v>International Aluminium Institute (IAI); public-source facility review</x:v>
      </x:c>
      <x:c r="L33" s="42" t="str">
        <x:v>https://alucycle.international-aluminium.org/public-access/</x:v>
      </x:c>
      <x:c r="M33" s="42" t="str">
        <x:v>Order-of-magnitude estimate.</x:v>
      </x:c>
    </x:row>
    <x:row r="34" ht="62" customHeight="1">
      <x:c r="A34" s="44" t="str">
        <x:v>Oman</x:v>
      </x:c>
      <x:c r="B34" s="44" t="str">
        <x:v>OMN</x:v>
      </x:c>
      <x:c r="C34" s="46" t="n">
        <x:v>5</x:v>
      </x:c>
      <x:c r="D34" s="46" t="n">
        <x:v>0</x:v>
      </x:c>
      <x:c r="E34" s="46" t="n">
        <x:v>15</x:v>
      </x:c>
      <x:c r="F34" s="40" t="str">
        <x:v>2024</x:v>
      </x:c>
      <x:c r="G34" s="40" t="str">
        <x:v>Proxy estimate</x:v>
      </x:c>
      <x:c r="H34" s="40" t="str">
        <x:v>Low</x:v>
      </x:c>
      <x:c r="I34" s="42" t="str">
        <x:v>Estimated secondary unwrought output outside primary smelting.</x:v>
      </x:c>
      <x:c r="J34" s="42" t="str">
        <x:v>No sizeable dedicated secondary producer identified in public sources for 2024.</x:v>
      </x:c>
      <x:c r="K34" s="42" t="str">
        <x:v>International Aluminium Institute (IAI)</x:v>
      </x:c>
      <x:c r="L34" s="42" t="str">
        <x:v>https://alucycle.international-aluminium.org/public-access/</x:v>
      </x:c>
      <x:c r="M34" s="42" t="str">
        <x:v>Oman's aluminium sector is dominated by primary production and downstream fabrication.</x:v>
      </x:c>
    </x:row>
    <x:row r="35" ht="62" customHeight="1">
      <x:c r="A35" s="44" t="str">
        <x:v>Poland</x:v>
      </x:c>
      <x:c r="B35" s="44" t="str">
        <x:v>POL</x:v>
      </x:c>
      <x:c r="C35" s="46" t="n">
        <x:v>450</x:v>
      </x:c>
      <x:c r="D35" s="46" t="n">
        <x:v>350</x:v>
      </x:c>
      <x:c r="E35" s="46" t="n">
        <x:v>500</x:v>
      </x:c>
      <x:c r="F35" s="40" t="str">
        <x:v>2024</x:v>
      </x:c>
      <x:c r="G35" s="40" t="str">
        <x:v>PRODCOM-derived</x:v>
      </x:c>
      <x:c r="H35" s="40" t="str">
        <x:v>Medium</x:v>
      </x:c>
      <x:c r="I35" s="42" t="str">
        <x:v>Unwrought aluminium output used as a proxy for secondary production.</x:v>
      </x:c>
      <x:c r="J35" s="42" t="str">
        <x:v>Eurostat-derived total unwrought output is about 500 kt and Poland has no primary smelter; midpoint discounts for remelting of imported primary metal.</x:v>
      </x:c>
      <x:c r="K35" s="42" t="str">
        <x:v>Eurostat PRODCOM (reproduced by ReportLinker)</x:v>
      </x:c>
      <x:c r="L35" s="42" t="str">
        <x:v>https://www.reportlinker.com/dataset/f4b3dfee553dbe63465f691df20662ee9179fa64</x:v>
      </x:c>
      <x:c r="M35" s="42" t="str">
        <x:v>Not all unwrought production is necessarily scrap-derived.</x:v>
      </x:c>
    </x:row>
    <x:row r="36" ht="62" customHeight="1">
      <x:c r="A36" s="44" t="str">
        <x:v>Qatar</x:v>
      </x:c>
      <x:c r="B36" s="44" t="str">
        <x:v>QAT</x:v>
      </x:c>
      <x:c r="C36" s="46" t="n">
        <x:v>5</x:v>
      </x:c>
      <x:c r="D36" s="46" t="n">
        <x:v>0</x:v>
      </x:c>
      <x:c r="E36" s="46" t="n">
        <x:v>15</x:v>
      </x:c>
      <x:c r="F36" s="40" t="str">
        <x:v>2024</x:v>
      </x:c>
      <x:c r="G36" s="40" t="str">
        <x:v>Proxy estimate</x:v>
      </x:c>
      <x:c r="H36" s="40" t="str">
        <x:v>Low</x:v>
      </x:c>
      <x:c r="I36" s="42" t="str">
        <x:v>Estimated secondary unwrought output outside primary smelting.</x:v>
      </x:c>
      <x:c r="J36" s="42" t="str">
        <x:v>No sizeable dedicated secondary producer identified in public sources for 2024.</x:v>
      </x:c>
      <x:c r="K36" s="42" t="str">
        <x:v>International Aluminium Institute (IAI)</x:v>
      </x:c>
      <x:c r="L36" s="42" t="str">
        <x:v>https://alucycle.international-aluminium.org/public-access/</x:v>
      </x:c>
      <x:c r="M36" s="42" t="str">
        <x:v>Qatar's aluminium sector is dominated by primary production.</x:v>
      </x:c>
    </x:row>
    <x:row r="37" ht="62" customHeight="1">
      <x:c r="A37" s="44" t="str">
        <x:v>Republic of Korea</x:v>
      </x:c>
      <x:c r="B37" s="44" t="str">
        <x:v>KOR</x:v>
      </x:c>
      <x:c r="C37" s="46" t="n">
        <x:v>900</x:v>
      </x:c>
      <x:c r="D37" s="46" t="n">
        <x:v>700</x:v>
      </x:c>
      <x:c r="E37" s="46" t="n">
        <x:v>1100</x:v>
      </x:c>
      <x:c r="F37" s="40" t="str">
        <x:v>2024</x:v>
      </x:c>
      <x:c r="G37" s="40" t="str">
        <x:v>Industry-structure proxy</x:v>
      </x:c>
      <x:c r="H37" s="40" t="str">
        <x:v>Low</x:v>
      </x:c>
      <x:c r="I37" s="42" t="str">
        <x:v>Estimated secondary aluminium and alloy production.</x:v>
      </x:c>
      <x:c r="J37" s="42" t="str">
        <x:v>Estimate reflects Korea's large automotive/casting sector, historical national secondary series and regional production benchmarks.</x:v>
      </x:c>
      <x:c r="K37" s="42" t="str">
        <x:v>International Aluminium Institute (IAI); public industry statistics review</x:v>
      </x:c>
      <x:c r="L37" s="42" t="str">
        <x:v>https://alucycle.international-aluminium.org/public-access/</x:v>
      </x:c>
      <x:c r="M37" s="42" t="str">
        <x:v>A current open national value was not located; published series are often paywalled.</x:v>
      </x:c>
    </x:row>
    <x:row r="38" ht="62" customHeight="1">
      <x:c r="A38" s="44" t="str">
        <x:v>Romania</x:v>
      </x:c>
      <x:c r="B38" s="44" t="str">
        <x:v>ROU</x:v>
      </x:c>
      <x:c r="C38" s="46" t="n">
        <x:v>80</x:v>
      </x:c>
      <x:c r="D38" s="46" t="n">
        <x:v>50</x:v>
      </x:c>
      <x:c r="E38" s="46" t="n">
        <x:v>100</x:v>
      </x:c>
      <x:c r="F38" s="40" t="str">
        <x:v>2024</x:v>
      </x:c>
      <x:c r="G38" s="40" t="str">
        <x:v>Capacity-derived estimate</x:v>
      </x:c>
      <x:c r="H38" s="40" t="str">
        <x:v>Medium</x:v>
      </x:c>
      <x:c r="I38" s="42" t="str">
        <x:v>Recycled aluminium output at ALRO and other remelters.</x:v>
      </x:c>
      <x:c r="J38" s="42" t="str">
        <x:v>ALRO reports 100 kt/y recycled aluminium capacity; midpoint assumes 80% utilisation.</x:v>
      </x:c>
      <x:c r="K38" s="42" t="str">
        <x:v>ALRO</x:v>
      </x:c>
      <x:c r="L38" s="42" t="str">
        <x:v>https://www.alro.ro/en/company</x:v>
      </x:c>
      <x:c r="M38" s="42" t="str">
        <x:v>Capacity, not reported actual production; other smaller producers may not be captured.</x:v>
      </x:c>
    </x:row>
    <x:row r="39" ht="62" customHeight="1">
      <x:c r="A39" s="44" t="str">
        <x:v>Russian Federation</x:v>
      </x:c>
      <x:c r="B39" s="44" t="str">
        <x:v>RUS</x:v>
      </x:c>
      <x:c r="C39" s="46" t="n">
        <x:v>300</x:v>
      </x:c>
      <x:c r="D39" s="46" t="n">
        <x:v>150</x:v>
      </x:c>
      <x:c r="E39" s="46" t="n">
        <x:v>500</x:v>
      </x:c>
      <x:c r="F39" s="40" t="str">
        <x:v>2024</x:v>
      </x:c>
      <x:c r="G39" s="40" t="str">
        <x:v>Industry-structure proxy</x:v>
      </x:c>
      <x:c r="H39" s="40" t="str">
        <x:v>Low</x:v>
      </x:c>
      <x:c r="I39" s="42" t="str">
        <x:v>Estimated national secondary aluminium output.</x:v>
      </x:c>
      <x:c r="J39" s="42" t="str">
        <x:v>Estimate combines disclosed company recycling activity with the scale of domestic fabrication and scrap generation.</x:v>
      </x:c>
      <x:c r="K39" s="42" t="str">
        <x:v>En+ Group annual reporting; IAI</x:v>
      </x:c>
      <x:c r="L39" s="42" t="str">
        <x:v>https://ar2024.enplusgroup.com/pdf/ar/en/strategic-report_business-review.pdf</x:v>
      </x:c>
      <x:c r="M39" s="42" t="str">
        <x:v>Public company disclosures cover only a small part of the national market.</x:v>
      </x:c>
    </x:row>
    <x:row r="40" ht="62" customHeight="1">
      <x:c r="A40" s="44" t="str">
        <x:v>Saudi Arabia</x:v>
      </x:c>
      <x:c r="B40" s="44" t="str">
        <x:v>SAU</x:v>
      </x:c>
      <x:c r="C40" s="46" t="n">
        <x:v>20</x:v>
      </x:c>
      <x:c r="D40" s="46" t="n">
        <x:v>5</x:v>
      </x:c>
      <x:c r="E40" s="46" t="n">
        <x:v>50</x:v>
      </x:c>
      <x:c r="F40" s="40" t="str">
        <x:v>2024</x:v>
      </x:c>
      <x:c r="G40" s="40" t="str">
        <x:v>Proxy estimate</x:v>
      </x:c>
      <x:c r="H40" s="40" t="str">
        <x:v>Low</x:v>
      </x:c>
      <x:c r="I40" s="42" t="str">
        <x:v>Estimated secondary unwrought output outside primary smelting.</x:v>
      </x:c>
      <x:c r="J40" s="42" t="str">
        <x:v>Allowance for captive and independent remelting; no national secondary series located.</x:v>
      </x:c>
      <x:c r="K40" s="42" t="str">
        <x:v>International Aluminium Institute (IAI); public-source facility review</x:v>
      </x:c>
      <x:c r="L40" s="42" t="str">
        <x:v>https://alucycle.international-aluminium.org/public-access/</x:v>
      </x:c>
      <x:c r="M40" s="42" t="str">
        <x:v>The formal sector is dominated by integrated primary production.</x:v>
      </x:c>
    </x:row>
    <x:row r="41" ht="62" customHeight="1">
      <x:c r="A41" s="44" t="str">
        <x:v>Serbia</x:v>
      </x:c>
      <x:c r="B41" s="44" t="str">
        <x:v>SRB</x:v>
      </x:c>
      <x:c r="C41" s="46" t="n">
        <x:v>50</x:v>
      </x:c>
      <x:c r="D41" s="46" t="n">
        <x:v>25</x:v>
      </x:c>
      <x:c r="E41" s="46" t="n">
        <x:v>90</x:v>
      </x:c>
      <x:c r="F41" s="40" t="str">
        <x:v>2024</x:v>
      </x:c>
      <x:c r="G41" s="40" t="str">
        <x:v>PRODCOM-informed proxy</x:v>
      </x:c>
      <x:c r="H41" s="40" t="str">
        <x:v>Low</x:v>
      </x:c>
      <x:c r="I41" s="42" t="str">
        <x:v>Estimated secondary unwrought aluminium output.</x:v>
      </x:c>
      <x:c r="J41" s="42" t="str">
        <x:v>Eurostat/European production data indicate sub-0.1 Mt unwrought output; midpoint reflects identified remelting and casting activity.</x:v>
      </x:c>
      <x:c r="K41" s="42" t="str">
        <x:v>Eurostat PRODCOM (reproduced by ReportLinker)</x:v>
      </x:c>
      <x:c r="L41" s="42" t="str">
        <x:v>https://www.reportlinker.com/dataset/f4b3dfee553dbe63465f691df20662ee9179fa64</x:v>
      </x:c>
      <x:c r="M41" s="42" t="str">
        <x:v>Reporting coverage and imported primary metal use are uncertain.</x:v>
      </x:c>
    </x:row>
    <x:row r="42" ht="62" customHeight="1">
      <x:c r="A42" s="44" t="str">
        <x:v>Slovenia</x:v>
      </x:c>
      <x:c r="B42" s="44" t="str">
        <x:v>SVN</x:v>
      </x:c>
      <x:c r="C42" s="46" t="n">
        <x:v>70</x:v>
      </x:c>
      <x:c r="D42" s="46" t="n">
        <x:v>45</x:v>
      </x:c>
      <x:c r="E42" s="46" t="n">
        <x:v>100</x:v>
      </x:c>
      <x:c r="F42" s="40" t="str">
        <x:v>2024</x:v>
      </x:c>
      <x:c r="G42" s="40" t="str">
        <x:v>PRODCOM-informed proxy</x:v>
      </x:c>
      <x:c r="H42" s="40" t="str">
        <x:v>Medium</x:v>
      </x:c>
      <x:c r="I42" s="42" t="str">
        <x:v>Estimated secondary unwrought aluminium output.</x:v>
      </x:c>
      <x:c r="J42" s="42" t="str">
        <x:v>Eurostat indicates sub-0.1 Mt unwrought output; Slovenia has established remelting/casting operations and little current primary production.</x:v>
      </x:c>
      <x:c r="K42" s="42" t="str">
        <x:v>Eurostat PRODCOM (reproduced by ReportLinker)</x:v>
      </x:c>
      <x:c r="L42" s="42" t="str">
        <x:v>https://www.reportlinker.com/dataset/f4b3dfee553dbe63465f691df20662ee9179fa64</x:v>
      </x:c>
      <x:c r="M42" s="42" t="str">
        <x:v>May include imported primary metal remelted into alloys.</x:v>
      </x:c>
    </x:row>
    <x:row r="43" ht="62" customHeight="1">
      <x:c r="A43" s="44" t="str">
        <x:v>South Africa</x:v>
      </x:c>
      <x:c r="B43" s="44" t="str">
        <x:v>ZAF</x:v>
      </x:c>
      <x:c r="C43" s="46" t="n">
        <x:v>180</x:v>
      </x:c>
      <x:c r="D43" s="46" t="n">
        <x:v>120</x:v>
      </x:c>
      <x:c r="E43" s="46" t="n">
        <x:v>250</x:v>
      </x:c>
      <x:c r="F43" s="40" t="str">
        <x:v>2024</x:v>
      </x:c>
      <x:c r="G43" s="40" t="str">
        <x:v>Industry-structure proxy</x:v>
      </x:c>
      <x:c r="H43" s="40" t="str">
        <x:v>Low</x:v>
      </x:c>
      <x:c r="I43" s="42" t="str">
        <x:v>Estimated secondary aluminium output.</x:v>
      </x:c>
      <x:c r="J43" s="42" t="str">
        <x:v>Estimate reflects documented secondary producers and the scale of domestic rolling, extrusion and casting.</x:v>
      </x:c>
      <x:c r="K43" s="42" t="str">
        <x:v>Trade &amp; Industrial Policy Strategies (TIPS)</x:v>
      </x:c>
      <x:c r="L43" s="42" t="str">
        <x:v>https://www.tips.org.za/policy-briefs/item/download/2400_28d7ac7ece959da5970b9c3be80978fb</x:v>
      </x:c>
      <x:c r="M43" s="42" t="str">
        <x:v>The cited source confirms activity but does not publish a consolidated national tonnage.</x:v>
      </x:c>
    </x:row>
    <x:row r="44" ht="62" customHeight="1">
      <x:c r="A44" s="44" t="str">
        <x:v>Spain</x:v>
      </x:c>
      <x:c r="B44" s="44" t="str">
        <x:v>ESP</x:v>
      </x:c>
      <x:c r="C44" s="46" t="n">
        <x:v>154</x:v>
      </x:c>
      <x:c r="D44" s="46" t="n">
        <x:v>140</x:v>
      </x:c>
      <x:c r="E44" s="46" t="n">
        <x:v>200</x:v>
      </x:c>
      <x:c r="F44" s="40" t="str">
        <x:v>Closest published benchmark</x:v>
      </x:c>
      <x:c r="G44" s="40" t="str">
        <x:v>Published sector benchmark</x:v>
      </x:c>
      <x:c r="H44" s="40" t="str">
        <x:v>Medium</x:v>
      </x:c>
      <x:c r="I44" s="42" t="str">
        <x:v>Secondary aluminium production.</x:v>
      </x:c>
      <x:c r="J44" s="42" t="str">
        <x:v>A European Commission non-ferrous-metals reference document reports Spanish secondary aluminium production of 154 kt. This remains a useful benchmark because Spain's primary smelting has since largely ceased while secondary remelting continues.</x:v>
      </x:c>
      <x:c r="K44" s="42" t="str">
        <x:v>European Commission, Non-Ferrous Metals BREF</x:v>
      </x:c>
      <x:c r="L44" s="42" t="str">
        <x:v>https://prtr-es.miteco.gob.es/Data/images/BREF%20Metalurgia%20no%20f%C3%A9rrea%20I-4CDE805E16D2361F.pdf</x:v>
      </x:c>
      <x:c r="M44" s="42" t="str">
        <x:v>The benchmark predates 2024; recent investment suggests current capacity may be higher than reported production.</x:v>
      </x:c>
    </x:row>
    <x:row r="45" ht="62" customHeight="1">
      <x:c r="A45" s="44" t="str">
        <x:v>Taiwan</x:v>
      </x:c>
      <x:c r="B45" s="44" t="str">
        <x:v>TWN</x:v>
      </x:c>
      <x:c r="C45" s="46" t="n">
        <x:v>350</x:v>
      </x:c>
      <x:c r="D45" s="46" t="n">
        <x:v>250</x:v>
      </x:c>
      <x:c r="E45" s="46" t="n">
        <x:v>500</x:v>
      </x:c>
      <x:c r="F45" s="40" t="str">
        <x:v>2024 estimate</x:v>
      </x:c>
      <x:c r="G45" s="40" t="str">
        <x:v>National-output proxy</x:v>
      </x:c>
      <x:c r="H45" s="40" t="str">
        <x:v>Low</x:v>
      </x:c>
      <x:c r="I45" s="42" t="str">
        <x:v>Estimated secondary aluminium and alloy-ingot production.</x:v>
      </x:c>
      <x:c r="J45" s="42" t="str">
        <x:v>Taiwan's official industrial statistics report aluminium and aluminium-alloy ingot output, while company disclosures confirm sizeable recycled-ingot capacity. The midpoint discounts the official ingot total for possible primary-content inputs.</x:v>
      </x:c>
      <x:c r="K45" s="42" t="str">
        <x:v>Taiwan Ministry of Economic Affairs; producer disclosures</x:v>
      </x:c>
      <x:c r="L45" s="42" t="str">
        <x:v>https://service.moea.gov.tw/EE520/investigate/InvestigateDA.aspx?lang=E</x:v>
      </x:c>
      <x:c r="M45" s="42" t="str">
        <x:v>Official ingot production is not separated transparently into primary- and scrap-derived metal.</x:v>
      </x:c>
    </x:row>
    <x:row r="46" ht="62" customHeight="1">
      <x:c r="A46" s="44" t="str">
        <x:v>Tajikistan</x:v>
      </x:c>
      <x:c r="B46" s="44" t="str">
        <x:v>TJK</x:v>
      </x:c>
      <x:c r="C46" s="46" t="n">
        <x:v>2</x:v>
      </x:c>
      <x:c r="D46" s="46" t="n">
        <x:v>0</x:v>
      </x:c>
      <x:c r="E46" s="46" t="n">
        <x:v>5</x:v>
      </x:c>
      <x:c r="F46" s="40" t="str">
        <x:v>2024</x:v>
      </x:c>
      <x:c r="G46" s="40" t="str">
        <x:v>Proxy estimate</x:v>
      </x:c>
      <x:c r="H46" s="40" t="str">
        <x:v>Low</x:v>
      </x:c>
      <x:c r="I46" s="42" t="str">
        <x:v>Estimated secondary unwrought output.</x:v>
      </x:c>
      <x:c r="J46" s="42" t="str">
        <x:v>Reported 2024 aluminium production is primary; only a small allowance is made for domestic scrap remelting.</x:v>
      </x:c>
      <x:c r="K46" s="42" t="str">
        <x:v>Caspian Post; IAI</x:v>
      </x:c>
      <x:c r="L46" s="42" t="str">
        <x:v>https://caspianpost.com/tajikistan/tajikistan-set-to-increase-aluminum-output-by-26-in-2025</x:v>
      </x:c>
      <x:c r="M46" s="42" t="str">
        <x:v>Downstream aluminium processing is not equivalent to secondary metal production.</x:v>
      </x:c>
    </x:row>
    <x:row r="47" ht="62" customHeight="1">
      <x:c r="A47" s="40" t="str">
        <x:v>Thailand</x:v>
      </x:c>
      <x:c r="B47" s="40" t="str">
        <x:v>THA</x:v>
      </x:c>
      <x:c r="C47" s="46" t="n">
        <x:v>571</x:v>
      </x:c>
      <x:c r="D47" s="46" t="n">
        <x:v>520</x:v>
      </x:c>
      <x:c r="E47" s="46" t="n">
        <x:v>620</x:v>
      </x:c>
      <x:c r="F47" s="40" t="str">
        <x:v>Recent year</x:v>
      </x:c>
      <x:c r="G47" s="40" t="str">
        <x:v>Government-sector figure</x:v>
      </x:c>
      <x:c r="H47" s="40" t="str">
        <x:v>Medium</x:v>
      </x:c>
      <x:c r="I47" s="42" t="str">
        <x:v>Actual production associated with Thailand's secondary aluminium manufacturing activity.</x:v>
      </x:c>
      <x:c r="J47" s="42" t="str">
        <x:v>Thailand's taxonomy background material reports more than 710 kt capacity and about 571 kt actual production.</x:v>
      </x:c>
      <x:c r="K47" s="42" t="str">
        <x:v>Government of Thailand, Department of Climate Change and Environment</x:v>
      </x:c>
      <x:c r="L47" s="42" t="str">
        <x:v>https://www.dcce.go.th/wp-content/uploads/2025/06/05_EN_Thailand_Taxonomy-Manufacturing.pdf</x:v>
      </x:c>
      <x:c r="M47" s="42" t="str">
        <x:v>The exact statistical reference year and boundary should be confirmed before use in a harmonised series.</x:v>
      </x:c>
    </x:row>
    <x:row r="48" ht="62" customHeight="1">
      <x:c r="A48" s="40" t="str">
        <x:v>Turkey</x:v>
      </x:c>
      <x:c r="B48" s="40" t="str">
        <x:v>TUR</x:v>
      </x:c>
      <x:c r="C48" s="46" t="n">
        <x:v>370</x:v>
      </x:c>
      <x:c r="D48" s="46" t="n">
        <x:v>330</x:v>
      </x:c>
      <x:c r="E48" s="46" t="n">
        <x:v>420</x:v>
      </x:c>
      <x:c r="F48" s="40" t="str">
        <x:v>2024 estimate</x:v>
      </x:c>
      <x:c r="G48" s="40" t="str">
        <x:v>Historical actual extrapolated</x:v>
      </x:c>
      <x:c r="H48" s="40" t="str">
        <x:v>Medium</x:v>
      </x:c>
      <x:c r="I48" s="42" t="str">
        <x:v>Secondary aluminium production from recycled scrap.</x:v>
      </x:c>
      <x:c r="J48" s="42" t="str">
        <x:v>Government/EBRD roadmap reports 330 kt in 2021; midpoint extrapolates modest growth to 2024.</x:v>
      </x:c>
      <x:c r="K48" s="42" t="str">
        <x:v>Republic of Türkiye Ministry of Industry and Technology / EBRD</x:v>
      </x:c>
      <x:c r="L48" s="42" t="str">
        <x:v>https://www.sanayi.gov.tr/assets/pdf/birimler/turkiye-aluminyum-sektoru-icin-dusuk-karbonlu-yol-haritasiEN.pdf</x:v>
      </x:c>
      <x:c r="M48" s="42" t="str">
        <x:v>2024 value is extrapolated rather than directly reported.</x:v>
      </x:c>
    </x:row>
    <x:row r="49" ht="62" customHeight="1">
      <x:c r="A49" s="40" t="str">
        <x:v>United Arab Emirates</x:v>
      </x:c>
      <x:c r="B49" s="40" t="str">
        <x:v>ARE</x:v>
      </x:c>
      <x:c r="C49" s="46" t="n">
        <x:v>5</x:v>
      </x:c>
      <x:c r="D49" s="46" t="n">
        <x:v>2</x:v>
      </x:c>
      <x:c r="E49" s="46" t="n">
        <x:v>15</x:v>
      </x:c>
      <x:c r="F49" s="40" t="str">
        <x:v>2024</x:v>
      </x:c>
      <x:c r="G49" s="40" t="str">
        <x:v>Company-sales proxy</x:v>
      </x:c>
      <x:c r="H49" s="40" t="str">
        <x:v>Medium</x:v>
      </x:c>
      <x:c r="I49" s="42" t="str">
        <x:v>Recycled aluminium produced/sold by domestic producers.</x:v>
      </x:c>
      <x:c r="J49" s="42" t="str">
        <x:v>EGA reported only about 2 kt of recycled aluminium sales in H1 2024, before its planned 170 kt/y recycling plant became operational.</x:v>
      </x:c>
      <x:c r="K49" s="42" t="str">
        <x:v>Reuters / Emirates Global Aluminium</x:v>
      </x:c>
      <x:c r="L49" s="42" t="str">
        <x:v>https://www.reuters.com/sustainability/decarbonizing-industries/how-aluminium-producers-are-trying-square-sky-high-emissions-with-role-net-zero-2025-05-14/</x:v>
      </x:c>
      <x:c r="M49" s="42" t="str">
        <x:v>May omit small independent remelters; EGA's new large plant was not operating in 2024.</x:v>
      </x:c>
    </x:row>
    <x:row r="50" ht="62" customHeight="1">
      <x:c r="A50" s="40" t="str">
        <x:v>United Kingdom</x:v>
      </x:c>
      <x:c r="B50" s="40" t="str">
        <x:v>GBR</x:v>
      </x:c>
      <x:c r="C50" s="46" t="n">
        <x:v>270</x:v>
      </x:c>
      <x:c r="D50" s="46" t="n">
        <x:v>220</x:v>
      </x:c>
      <x:c r="E50" s="46" t="n">
        <x:v>320</x:v>
      </x:c>
      <x:c r="F50" s="40" t="str">
        <x:v>2024</x:v>
      </x:c>
      <x:c r="G50" s="40" t="str">
        <x:v>PRODCOM-minus-primary</x:v>
      </x:c>
      <x:c r="H50" s="40" t="str">
        <x:v>Medium</x:v>
      </x:c>
      <x:c r="I50" s="42" t="str">
        <x:v>Estimated secondary unwrought output.</x:v>
      </x:c>
      <x:c r="J50" s="42" t="str">
        <x:v>2023/24 total unwrought production is about 308 kt; subtracting the small Lochaber primary output gives an approximate secondary residual.</x:v>
      </x:c>
      <x:c r="K50" s="42" t="str">
        <x:v>Eurostat/UK PRODCOM (reproduced by ReportLinker); ALFED</x:v>
      </x:c>
      <x:c r="L50" s="42" t="str">
        <x:v>https://www.reportlinker.com/dataset/1f73e86346629c66f947f304866d2e43e7478179</x:v>
      </x:c>
      <x:c r="M50" s="42" t="str">
        <x:v>Residual may include imported primary metal remelted into alloys.</x:v>
      </x:c>
    </x:row>
    <x:row r="51" ht="62" customHeight="1">
      <x:c r="A51" s="40" t="str">
        <x:v>United States</x:v>
      </x:c>
      <x:c r="B51" s="40" t="str">
        <x:v>USA</x:v>
      </x:c>
      <x:c r="C51" s="46" t="n">
        <x:v>3600</x:v>
      </x:c>
      <x:c r="D51" s="46" t="n">
        <x:v>3500</x:v>
      </x:c>
      <x:c r="E51" s="46" t="n">
        <x:v>4100</x:v>
      </x:c>
      <x:c r="F51" s="40" t="str">
        <x:v>2024</x:v>
      </x:c>
      <x:c r="G51" s="40" t="str">
        <x:v>Official national estimate</x:v>
      </x:c>
      <x:c r="H51" s="40" t="str">
        <x:v>High</x:v>
      </x:c>
      <x:c r="I51" s="42" t="str">
        <x:v>Aluminium recovered from purchased scrap.</x:v>
      </x:c>
      <x:c r="J51" s="42" t="str">
        <x:v>USGS estimates about 3.6 Mt recovered from purchased scrap in 2024; broader measures including home scrap can exceed this.</x:v>
      </x:c>
      <x:c r="K51" s="42" t="str">
        <x:v>U.S. Geological Survey</x:v>
      </x:c>
      <x:c r="L51" s="42" t="str">
        <x:v>https://pubs.usgs.gov/periodicals/mcs2025/mcs2025.pdf</x:v>
      </x:c>
      <x:c r="M51" s="42" t="str">
        <x:v>USGS 'recovered from purchased scrap' is not identical to secondary-ingot output, but is the strongest public national measure.</x:v>
      </x:c>
    </x:row>
    <x:row r="52" ht="62" customHeight="1">
      <x:c r="A52" s="40" t="str">
        <x:v>Venezuela</x:v>
      </x:c>
      <x:c r="B52" s="40" t="str">
        <x:v>VEN</x:v>
      </x:c>
      <x:c r="C52" s="46" t="n">
        <x:v>15</x:v>
      </x:c>
      <x:c r="D52" s="46" t="n">
        <x:v>5</x:v>
      </x:c>
      <x:c r="E52" s="46" t="n">
        <x:v>30</x:v>
      </x:c>
      <x:c r="F52" s="40" t="str">
        <x:v>2024</x:v>
      </x:c>
      <x:c r="G52" s="40" t="str">
        <x:v>Proxy estimate</x:v>
      </x:c>
      <x:c r="H52" s="40" t="str">
        <x:v>Low</x:v>
      </x:c>
      <x:c r="I52" s="42" t="str">
        <x:v>Estimated secondary unwrought output.</x:v>
      </x:c>
      <x:c r="J52" s="42" t="str">
        <x:v>Small allowance for domestic scrap remelting amid severely constrained primary and downstream activity.</x:v>
      </x:c>
      <x:c r="K52" s="42" t="str">
        <x:v>International Aluminium Institute (IAI); public-source facility review</x:v>
      </x:c>
      <x:c r="L52" s="42" t="str">
        <x:v>https://alucycle.international-aluminium.org/public-access/</x:v>
      </x:c>
      <x:c r="M52" s="42" t="str">
        <x:v>No reliable national secondary production statistic was located.</x:v>
      </x:c>
    </x:row>
    <x:row r="53" ht="62" customHeight="1">
      <x:c r="A53" s="40" t="str">
        <x:v>Vietnam</x:v>
      </x:c>
      <x:c r="B53" s="40" t="str">
        <x:v>VNM</x:v>
      </x:c>
      <x:c r="C53" s="46" t="n">
        <x:v>300</x:v>
      </x:c>
      <x:c r="D53" s="46" t="n">
        <x:v>150</x:v>
      </x:c>
      <x:c r="E53" s="46" t="n">
        <x:v>500</x:v>
      </x:c>
      <x:c r="F53" s="40" t="str">
        <x:v>2024 estimate</x:v>
      </x:c>
      <x:c r="G53" s="40" t="str">
        <x:v>Trade- and industry-derived estimate</x:v>
      </x:c>
      <x:c r="H53" s="40" t="str">
        <x:v>Low</x:v>
      </x:c>
      <x:c r="I53" s="42" t="str">
        <x:v>Estimated secondary alloy-ingot and recycled aluminium production.</x:v>
      </x:c>
      <x:c r="J53" s="42" t="str">
        <x:v>Vietnam lacked commercial-scale primary smelting in 2024 but had a growing scrap-processing and aluminium-products industry supplying regional markets. The midpoint reflects identified alloy-ingot exports and processing activity.</x:v>
      </x:c>
      <x:c r="K53" s="42" t="str">
        <x:v>Fastmarkets / industry market reporting</x:v>
      </x:c>
      <x:c r="L53" s="42" t="str">
        <x:v>https://www.fastmarkets.com/insights/scrap-availability-in-focus-for-europes-secondary-aluminium-markets-in-2024-2024-preview/</x:v>
      </x:c>
      <x:c r="M53" s="42" t="str">
        <x:v>Transshipment, imported primary ingot and the absence of national production data create substantial uncertainty.</x:v>
      </x:c>
    </x:row>
  </x:sheetData>
  <x:conditionalFormatting sqref="H6:H46">
    <x:cfRule type="expression" dxfId="0" priority="1">
      <x:formula>H6="High"</x:formula>
    </x:cfRule>
    <x:cfRule type="expression" dxfId="1" priority="2">
      <x:formula>H6="Medium"</x:formula>
    </x:cfRule>
    <x:cfRule type="expression" dxfId="2" priority="3">
      <x:formula>H6="Low"</x:formula>
    </x:cfRule>
  </x:conditionalFormatting>
  <x:conditionalFormatting sqref="C6:C46">
    <x:cfRule type="dataBar" priority="4">
      <x:dataBar>
        <x:cfvo type="min"/>
        <x:cfvo type="max"/>
        <x:color rgb="FF5B9BD5"/>
      </x:dataBar>
      <x:extLst>
        <x:ext xmlns:x14="http://schemas.microsoft.com/office/spreadsheetml/2009/9/main" uri="{B025F937-C7B1-47D3-B67F-A62EFF666E3E}">
          <x14:id>{722EEEDD-2F2F-081D-521E-C080DE93DBA0}</x14:id>
        </x:ext>
      </x:extLst>
    </x:cfRule>
  </x:conditionalFormatting>
  <x:conditionalFormatting sqref="H47:H53">
    <x:cfRule type="expression" dxfId="3" priority="5">
      <x:formula>H47="High"</x:formula>
    </x:cfRule>
    <x:cfRule type="expression" dxfId="4" priority="6">
      <x:formula>H47="Medium"</x:formula>
    </x:cfRule>
    <x:cfRule type="expression" dxfId="5" priority="7">
      <x:formula>H47="Low"</x:formula>
    </x:cfRule>
  </x:conditionalFormatting>
  <x:conditionalFormatting sqref="C47:C53">
    <x:cfRule type="dataBar" priority="8">
      <x:dataBar>
        <x:cfvo type="min"/>
        <x:cfvo type="max"/>
        <x:color rgb="FF5B9BD5"/>
      </x:dataBar>
      <x:extLst>
        <x:ext xmlns:x14="http://schemas.microsoft.com/office/spreadsheetml/2009/9/main" uri="{B025F937-C7B1-47D3-B67F-A62EFF666E3E}">
          <x14:id>{B8B9DC26-9157-419E-8928-5ED8BB508DAE}</x14:id>
        </x:ext>
      </x:extLst>
    </x:cfRule>
  </x:conditionalFormatting>
  <x:pageMargins left="0.7" right="0.7" top="0.75" bottom="0.75" header="0.3" footer="0.3"/>
  <x:tableParts count="1">
    <x:tablePart xmlns:r="http://schemas.openxmlformats.org/officeDocument/2006/relationships" r:id="R32ea93a24d3c45c1"/>
  </x:tableParts>
  <x:extLst>
    <x:ext xmlns:x14="http://schemas.microsoft.com/office/spreadsheetml/2009/9/main" xmlns:xm="http://schemas.microsoft.com/office/excel/2006/main" uri="{78C0D931-6437-407d-A8EE-F0AAD7539E65}">
      <x14:conditionalFormattings>
        <x14:conditionalFormatting>
          <x14:cfRule type="dataBar" priority="4" id="{722EEEDD-2F2F-081D-521E-C080DE93DBA0}">
            <x14:dataBar gradient="1">
              <x14:cfvo type="min"/>
              <x14:cfvo type="max"/>
              <x14:fillColor rgb="FF5B9BD5"/>
            </x14:dataBar>
          </x14:cfRule>
          <xm:sqref>C6:C46</xm:sqref>
        </x14:conditionalFormatting>
        <x14:conditionalFormatting>
          <x14:cfRule type="dataBar" priority="8" id="{B8B9DC26-9157-419E-8928-5ED8BB508DAE}">
            <x14:dataBar gradient="1">
              <x14:cfvo type="min"/>
              <x14:cfvo type="max"/>
              <x14:fillColor rgb="FF5B9BD5"/>
            </x14:dataBar>
          </x14:cfRule>
          <xm:sqref>C47:C53</xm:sqref>
        </x14:conditionalFormatting>
      </x14:conditionalFormattings>
    </x:ext>
  </x:extLst>
</x:worksheet>
</file>

<file path=xl/worksheets/sheet2.xml><?xml version="1.0" encoding="utf-8"?>
<x:worksheet xmlns:x="http://schemas.openxmlformats.org/spreadsheetml/2006/main">
  <x:sheetFormatPr defaultRowHeight="15"/>
  <x:cols>
    <x:col min="1" max="1" width="36" hidden="0" customWidth="1"/>
    <x:col min="2" max="2" width="66" hidden="0" customWidth="1"/>
    <x:col min="3" max="3" width="58" hidden="0" customWidth="1"/>
  </x:cols>
  <x:sheetData>
    <x:row r="1">
      <x:c r="A1" s="5" t="str">
        <x:v>Methodology, interpretation and limitations</x:v>
      </x:c>
      <x:c r="B1" s="5"/>
      <x:c r="C1" s="5"/>
      <x:c r="D1" s="5"/>
      <x:c r="E1" s="5"/>
      <x:c r="F1" s="5"/>
    </x:row>
    <x:row r="3" ht="44" customHeight="1">
      <x:c r="A3" s="52" t="str">
        <x:v>Purpose</x:v>
      </x:c>
      <x:c r="B3" s="42" t="str">
        <x:v>Provide a transparent, model-ready set of country estimates for secondary aluminium production around 2024, while preserving source definitions and uncertainty.</x:v>
      </x:c>
    </x:row>
    <x:row r="4" ht="44" customHeight="1">
      <x:c r="A4" s="52" t="str">
        <x:v>Working definition</x:v>
      </x:c>
      <x:c r="B4" s="42" t="str">
        <x:v>Aluminium produced by remelting or refining scrap into unwrought recycled metal or alloy. Primary smelter output is excluded. Downstream fabrication is excluded unless the source itself reports it as secondary production.</x:v>
      </x:c>
    </x:row>
    <x:row r="5" ht="44" customHeight="1">
      <x:c r="A5" s="52" t="str">
        <x:v>Source hierarchy</x:v>
      </x:c>
      <x:c r="B5" s="42" t="str">
        <x:v>1) official national statistics; 2) national aluminium associations; 3) company or sector reports; 4) PRODCOM/unwrought-output derivations; 5) capacity or market-balance proxies.</x:v>
      </x:c>
    </x:row>
    <x:row r="6" ht="44" customHeight="1">
      <x:c r="A6" s="52" t="str">
        <x:v>Point estimate</x:v>
      </x:c>
      <x:c r="B6" s="42" t="str">
        <x:v>The recommended central value for modelling. It is not presented as statistically precise where the evidence class is derived or proxy-based.</x:v>
      </x:c>
    </x:row>
    <x:row r="7" ht="44" customHeight="1">
      <x:c r="A7" s="52" t="str">
        <x:v>Low / high</x:v>
      </x:c>
      <x:c r="B7" s="42" t="str">
        <x:v>A judgemental uncertainty interval reflecting source quality, definitional ambiguity, capacity utilisation and the possibility of unreported captive or informal remelting.</x:v>
      </x:c>
    </x:row>
    <x:row r="8" ht="44" customHeight="1">
      <x:c r="A8" s="52" t="str">
        <x:v>Confidence — High</x:v>
      </x:c>
      <x:c r="B8" s="42" t="str">
        <x:v>A directly reported national or industry total closely matching the requested concept.</x:v>
      </x:c>
    </x:row>
    <x:row r="9" ht="44" customHeight="1">
      <x:c r="A9" s="52" t="str">
        <x:v>Confidence — Medium</x:v>
      </x:c>
      <x:c r="B9" s="42" t="str">
        <x:v>A strong industry estimate, partial-year annualisation, or a transparent derivation from capacity/PRODCOM data.</x:v>
      </x:c>
    </x:row>
    <x:row r="10" ht="44" customHeight="1">
      <x:c r="A10" s="52" t="str">
        <x:v>Confidence — Low</x:v>
      </x:c>
      <x:c r="B10" s="42" t="str">
        <x:v>No current national total located; estimate relies on industrial structure, facility evidence, trade, regional benchmarks or a residual calculation.</x:v>
      </x:c>
    </x:row>
    <x:row r="11" ht="44" customHeight="1">
      <x:c r="A11" s="52" t="str">
        <x:v>Comparability warning</x:v>
      </x:c>
      <x:c r="B11" s="42" t="str">
        <x:v>The country figures are not fully harmonised. For example, the United States reports aluminium recovered from purchased scrap, Brazil reports recycled metal embodied in domestic products, and several European rows use unwrought output as a proxy.</x:v>
      </x:c>
    </x:row>
    <x:row r="12" ht="44" customHeight="1">
      <x:c r="A12" s="52" t="str">
        <x:v>Coverage warning</x:v>
      </x:c>
      <x:c r="B12" s="42" t="str">
        <x:v>The expanded list now covers 48 countries, including Belgium, Hungary, Malaysia, the Netherlands, Spain, Taiwan and Vietnam. It is still not exhaustive: Norway, Sweden, Switzerland and Singapore may warrant consideration depending on the desired threshold.</x:v>
      </x:c>
    </x:row>
    <x:row r="13" ht="44" customHeight="1">
      <x:c r="A13" s="52" t="str">
        <x:v>Recommended use</x:v>
      </x:c>
      <x:c r="B13" s="42" t="str">
        <x:v>Use the point estimate for a central scenario and the low/high values for sensitivity analysis. For high-stakes country analysis, verify low-confidence rows with national statistical offices or paid industry datasets.</x:v>
      </x:c>
    </x:row>
    <x:row r="14" ht="44" customHeight="1">
      <x:c r="A14" s="52" t="str">
        <x:v>Data cut-off</x:v>
      </x:c>
      <x:c r="B14" s="42" t="str">
        <x:v>Public sources reviewed up to 31 July 2026.</x:v>
      </x:c>
    </x:row>
    <x:row r="16">
      <x:c r="A16" s="22" t="str">
        <x:v>Key cross-checks and supporting datasets</x:v>
      </x:c>
      <x:c r="B16" s="22"/>
      <x:c r="C16" s="22"/>
      <x:c r="D16" s="22"/>
      <x:c r="E16" s="22"/>
      <x:c r="F16" s="22"/>
    </x:row>
    <x:row r="18" ht="30" customHeight="1">
      <x:c r="A18" s="22" t="str">
        <x:v>Dataset / source</x:v>
      </x:c>
      <x:c r="B18" s="22" t="str">
        <x:v>Use in this workbook</x:v>
      </x:c>
      <x:c r="C18" s="22" t="str">
        <x:v>URL</x:v>
      </x:c>
    </x:row>
    <x:row r="19" ht="48" customHeight="1">
      <x:c r="A19" s="42" t="str">
        <x:v>British Geological Survey, World Mineral Production 2020–2024</x:v>
      </x:c>
      <x:c r="B19" s="42" t="str">
        <x:v>Primary aluminium cross-check and confirmation that BGS does not provide a harmonised secondary-remelt table.</x:v>
      </x:c>
      <x:c r="C19" s="42" t="str">
        <x:v>https://nora.nerc.ac.uk/id/eprint/541620/1/WMP_2020%20to%202024.pdf</x:v>
      </x:c>
    </x:row>
    <x:row r="20" ht="48" customHeight="1">
      <x:c r="A20" s="42" t="str">
        <x:v>International Aluminium Institute, Global Aluminium Cycle</x:v>
      </x:c>
      <x:c r="B20" s="42" t="str">
        <x:v>Material-flow context and facility/sector plausibility checks.</x:v>
      </x:c>
      <x:c r="C20" s="42" t="str">
        <x:v>https://alucycle.international-aluminium.org/public-access/</x:v>
      </x:c>
    </x:row>
    <x:row r="21" ht="48" customHeight="1">
      <x:c r="A21" s="42" t="str">
        <x:v>Eurostat PRODCOM</x:v>
      </x:c>
      <x:c r="B21" s="42" t="str">
        <x:v>Country production of manufactured products; used for European unwrought-output derivations.</x:v>
      </x:c>
      <x:c r="C21" s="42" t="str">
        <x:v>https://ec.europa.eu/eurostat/databrowser/product/view/ds-059359?category=prom</x:v>
      </x:c>
    </x:row>
    <x:row r="22" ht="48" customHeight="1">
      <x:c r="A22" s="42" t="str">
        <x:v>USGS Mineral Commodity Summaries 2025</x:v>
      </x:c>
      <x:c r="B22" s="42" t="str">
        <x:v>Official United States recovered-scrap estimate.</x:v>
      </x:c>
      <x:c r="C22" s="42" t="str">
        <x:v>https://pubs.usgs.gov/periodicals/mcs2025/mcs2025.pdf</x:v>
      </x:c>
    </x:row>
    <x:row r="23" ht="48" customHeight="1">
      <x:c r="A23" s="42" t="str">
        <x:v>European Aluminium</x:v>
      </x:c>
      <x:c r="B23" s="42" t="str">
        <x:v>Regional industry structure and definition cross-check.</x:v>
      </x:c>
      <x:c r="C23" s="42" t="str">
        <x:v>https://european-aluminium.eu/about-aluminium/aluminium-industry/</x:v>
      </x:c>
    </x:row>
  </x:sheetData>
  <x:mergeCells>
    <x:mergeCell ref="A1:F1"/>
    <x:mergeCell ref="A16:F16"/>
  </x:mergeCells>
  <x:pageMargins left="0.7" right="0.7" top="0.75" bottom="0.75" header="0.3" footer="0.3"/>
  <x:tableParts count="1">
    <x:tablePart xmlns:r="http://schemas.openxmlformats.org/officeDocument/2006/relationships" r:id="R6dc68ebfc6c04e8a"/>
  </x:tableParts>
</x:worksheet>
</file>