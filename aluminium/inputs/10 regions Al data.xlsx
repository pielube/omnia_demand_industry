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git\omnia_demand_industry\aluminium\inputs\"/>
    </mc:Choice>
  </mc:AlternateContent>
  <xr:revisionPtr revIDLastSave="0" documentId="13_ncr:1_{411738A5-39A3-4DEB-A931-F9408A5C428A}" xr6:coauthVersionLast="47" xr6:coauthVersionMax="47" xr10:uidLastSave="{00000000-0000-0000-0000-000000000000}"/>
  <bookViews>
    <workbookView xWindow="-4890" yWindow="-21720" windowWidth="38640" windowHeight="21120" activeTab="3" xr2:uid="{00000000-000D-0000-FFFF-FFFF00000000}"/>
  </bookViews>
  <sheets>
    <sheet name="baseline" sheetId="1" r:id="rId1"/>
    <sheet name="recycling rate scenario" sheetId="2" r:id="rId2"/>
    <sheet name="lifetime scenario" sheetId="4" r:id="rId3"/>
    <sheet name="CE Mid High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" i="5" l="1"/>
  <c r="S23" i="5"/>
  <c r="S24" i="5"/>
  <c r="S25" i="5"/>
  <c r="S26" i="5"/>
  <c r="S27" i="5"/>
  <c r="S21" i="5"/>
  <c r="R22" i="5"/>
  <c r="R23" i="5"/>
  <c r="R24" i="5"/>
  <c r="R25" i="5"/>
  <c r="R26" i="5"/>
  <c r="R27" i="5"/>
  <c r="R28" i="5"/>
  <c r="R21" i="5"/>
  <c r="R16" i="5"/>
  <c r="R10" i="5"/>
  <c r="R9" i="5"/>
  <c r="R8" i="5"/>
  <c r="R7" i="5"/>
  <c r="R6" i="5"/>
  <c r="R5" i="5"/>
  <c r="O4" i="5" l="1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" i="5"/>
  <c r="D3" i="5"/>
  <c r="E3" i="5"/>
  <c r="F3" i="5"/>
  <c r="G3" i="5"/>
  <c r="H3" i="5"/>
  <c r="I3" i="5"/>
  <c r="J3" i="5"/>
  <c r="K3" i="5"/>
  <c r="L3" i="5"/>
  <c r="D4" i="5"/>
  <c r="E4" i="5"/>
  <c r="F4" i="5"/>
  <c r="G4" i="5"/>
  <c r="H4" i="5"/>
  <c r="I4" i="5"/>
  <c r="J4" i="5"/>
  <c r="K4" i="5"/>
  <c r="L4" i="5"/>
  <c r="D5" i="5"/>
  <c r="E5" i="5"/>
  <c r="F5" i="5"/>
  <c r="G5" i="5"/>
  <c r="H5" i="5"/>
  <c r="I5" i="5"/>
  <c r="J5" i="5"/>
  <c r="K5" i="5"/>
  <c r="L5" i="5"/>
  <c r="D6" i="5"/>
  <c r="E6" i="5"/>
  <c r="F6" i="5"/>
  <c r="G6" i="5"/>
  <c r="H6" i="5"/>
  <c r="I6" i="5"/>
  <c r="J6" i="5"/>
  <c r="K6" i="5"/>
  <c r="L6" i="5"/>
  <c r="D7" i="5"/>
  <c r="E7" i="5"/>
  <c r="F7" i="5"/>
  <c r="G7" i="5"/>
  <c r="H7" i="5"/>
  <c r="I7" i="5"/>
  <c r="J7" i="5"/>
  <c r="K7" i="5"/>
  <c r="L7" i="5"/>
  <c r="D8" i="5"/>
  <c r="E8" i="5"/>
  <c r="F8" i="5"/>
  <c r="G8" i="5"/>
  <c r="H8" i="5"/>
  <c r="I8" i="5"/>
  <c r="J8" i="5"/>
  <c r="K8" i="5"/>
  <c r="L8" i="5"/>
  <c r="D9" i="5"/>
  <c r="E9" i="5"/>
  <c r="F9" i="5"/>
  <c r="G9" i="5"/>
  <c r="H9" i="5"/>
  <c r="I9" i="5"/>
  <c r="J9" i="5"/>
  <c r="K9" i="5"/>
  <c r="L9" i="5"/>
  <c r="D10" i="5"/>
  <c r="E10" i="5"/>
  <c r="F10" i="5"/>
  <c r="G10" i="5"/>
  <c r="H10" i="5"/>
  <c r="I10" i="5"/>
  <c r="J10" i="5"/>
  <c r="K10" i="5"/>
  <c r="L10" i="5"/>
  <c r="D11" i="5"/>
  <c r="E11" i="5"/>
  <c r="F11" i="5"/>
  <c r="G11" i="5"/>
  <c r="H11" i="5"/>
  <c r="I11" i="5"/>
  <c r="J11" i="5"/>
  <c r="K11" i="5"/>
  <c r="L11" i="5"/>
  <c r="D12" i="5"/>
  <c r="E12" i="5"/>
  <c r="F12" i="5"/>
  <c r="G12" i="5"/>
  <c r="H12" i="5"/>
  <c r="I12" i="5"/>
  <c r="J12" i="5"/>
  <c r="K12" i="5"/>
  <c r="L12" i="5"/>
  <c r="D13" i="5"/>
  <c r="E13" i="5"/>
  <c r="F13" i="5"/>
  <c r="G13" i="5"/>
  <c r="H13" i="5"/>
  <c r="I13" i="5"/>
  <c r="J13" i="5"/>
  <c r="K13" i="5"/>
  <c r="L13" i="5"/>
  <c r="D14" i="5"/>
  <c r="E14" i="5"/>
  <c r="F14" i="5"/>
  <c r="G14" i="5"/>
  <c r="H14" i="5"/>
  <c r="I14" i="5"/>
  <c r="J14" i="5"/>
  <c r="K14" i="5"/>
  <c r="L14" i="5"/>
  <c r="D15" i="5"/>
  <c r="E15" i="5"/>
  <c r="F15" i="5"/>
  <c r="G15" i="5"/>
  <c r="H15" i="5"/>
  <c r="I15" i="5"/>
  <c r="J15" i="5"/>
  <c r="K15" i="5"/>
  <c r="L15" i="5"/>
  <c r="D16" i="5"/>
  <c r="E16" i="5"/>
  <c r="F16" i="5"/>
  <c r="G16" i="5"/>
  <c r="H16" i="5"/>
  <c r="I16" i="5"/>
  <c r="J16" i="5"/>
  <c r="K16" i="5"/>
  <c r="L16" i="5"/>
  <c r="D17" i="5"/>
  <c r="E17" i="5"/>
  <c r="F17" i="5"/>
  <c r="G17" i="5"/>
  <c r="H17" i="5"/>
  <c r="I17" i="5"/>
  <c r="J17" i="5"/>
  <c r="K17" i="5"/>
  <c r="L17" i="5"/>
  <c r="D18" i="5"/>
  <c r="E18" i="5"/>
  <c r="F18" i="5"/>
  <c r="G18" i="5"/>
  <c r="H18" i="5"/>
  <c r="I18" i="5"/>
  <c r="J18" i="5"/>
  <c r="K18" i="5"/>
  <c r="L18" i="5"/>
  <c r="D19" i="5"/>
  <c r="E19" i="5"/>
  <c r="F19" i="5"/>
  <c r="G19" i="5"/>
  <c r="H19" i="5"/>
  <c r="I19" i="5"/>
  <c r="J19" i="5"/>
  <c r="K19" i="5"/>
  <c r="L19" i="5"/>
  <c r="D20" i="5"/>
  <c r="E20" i="5"/>
  <c r="F20" i="5"/>
  <c r="G20" i="5"/>
  <c r="H20" i="5"/>
  <c r="I20" i="5"/>
  <c r="J20" i="5"/>
  <c r="K20" i="5"/>
  <c r="L20" i="5"/>
  <c r="D21" i="5"/>
  <c r="E21" i="5"/>
  <c r="F21" i="5"/>
  <c r="G21" i="5"/>
  <c r="H21" i="5"/>
  <c r="I21" i="5"/>
  <c r="J21" i="5"/>
  <c r="K21" i="5"/>
  <c r="L21" i="5"/>
  <c r="D22" i="5"/>
  <c r="E22" i="5"/>
  <c r="F22" i="5"/>
  <c r="G22" i="5"/>
  <c r="H22" i="5"/>
  <c r="I22" i="5"/>
  <c r="J22" i="5"/>
  <c r="K22" i="5"/>
  <c r="L22" i="5"/>
  <c r="D23" i="5"/>
  <c r="E23" i="5"/>
  <c r="F23" i="5"/>
  <c r="G23" i="5"/>
  <c r="H23" i="5"/>
  <c r="I23" i="5"/>
  <c r="J23" i="5"/>
  <c r="K23" i="5"/>
  <c r="L23" i="5"/>
  <c r="D24" i="5"/>
  <c r="E24" i="5"/>
  <c r="F24" i="5"/>
  <c r="G24" i="5"/>
  <c r="H24" i="5"/>
  <c r="I24" i="5"/>
  <c r="J24" i="5"/>
  <c r="K24" i="5"/>
  <c r="L24" i="5"/>
  <c r="D25" i="5"/>
  <c r="E25" i="5"/>
  <c r="F25" i="5"/>
  <c r="G25" i="5"/>
  <c r="H25" i="5"/>
  <c r="I25" i="5"/>
  <c r="J25" i="5"/>
  <c r="K25" i="5"/>
  <c r="L25" i="5"/>
  <c r="D26" i="5"/>
  <c r="E26" i="5"/>
  <c r="F26" i="5"/>
  <c r="G26" i="5"/>
  <c r="H26" i="5"/>
  <c r="I26" i="5"/>
  <c r="J26" i="5"/>
  <c r="K26" i="5"/>
  <c r="L26" i="5"/>
  <c r="D27" i="5"/>
  <c r="E27" i="5"/>
  <c r="F27" i="5"/>
  <c r="G27" i="5"/>
  <c r="H27" i="5"/>
  <c r="I27" i="5"/>
  <c r="J27" i="5"/>
  <c r="K27" i="5"/>
  <c r="L27" i="5"/>
  <c r="D28" i="5"/>
  <c r="E28" i="5"/>
  <c r="F28" i="5"/>
  <c r="G28" i="5"/>
  <c r="H28" i="5"/>
  <c r="I28" i="5"/>
  <c r="J28" i="5"/>
  <c r="K28" i="5"/>
  <c r="L28" i="5"/>
  <c r="D29" i="5"/>
  <c r="E29" i="5"/>
  <c r="F29" i="5"/>
  <c r="G29" i="5"/>
  <c r="H29" i="5"/>
  <c r="I29" i="5"/>
  <c r="J29" i="5"/>
  <c r="K29" i="5"/>
  <c r="L29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" i="5"/>
</calcChain>
</file>

<file path=xl/sharedStrings.xml><?xml version="1.0" encoding="utf-8"?>
<sst xmlns="http://schemas.openxmlformats.org/spreadsheetml/2006/main" count="155" uniqueCount="24">
  <si>
    <t>China</t>
  </si>
  <si>
    <t>Japan</t>
  </si>
  <si>
    <t>North America</t>
  </si>
  <si>
    <t>Europe</t>
  </si>
  <si>
    <t>South America</t>
  </si>
  <si>
    <t>Other Asia</t>
  </si>
  <si>
    <t>Other main producer</t>
  </si>
  <si>
    <t>Middle East</t>
  </si>
  <si>
    <t>UK</t>
  </si>
  <si>
    <t>Rest of World</t>
  </si>
  <si>
    <t>Al demand (kt)</t>
  </si>
  <si>
    <t>Primary Al ingot (kt)</t>
  </si>
  <si>
    <t>Secondary Al ingot (kt)</t>
  </si>
  <si>
    <t>Al scrap (kt)</t>
  </si>
  <si>
    <t>Based on BAU scenarios, recycling rate gradually reaches theoretical maximum 95% in each region by 2050.</t>
  </si>
  <si>
    <t>Based on BAU scenarios, lifetime gradually increase and reach their target values by 2050 in each region.</t>
  </si>
  <si>
    <t>Global</t>
  </si>
  <si>
    <t>I would consider this to be the Medium scenario</t>
  </si>
  <si>
    <t xml:space="preserve">https://international-aluminium.org/wp-content/uploads/2022/09/Making-1.5-Aligned-Aluminium-possible.pdf </t>
  </si>
  <si>
    <t>Hence:</t>
  </si>
  <si>
    <t>Medium</t>
  </si>
  <si>
    <t>High</t>
  </si>
  <si>
    <t>For a high scenario, I'd consider 16.7% total global production reduction, as suggested by this ref:</t>
  </si>
  <si>
    <t>16.7% is obtained from point 6 at page 15: "Without any action, aluminium demand is expected to rise 80% by 2050. Material efficiency can play a critical role in ensuring that aluminium is used effectively, potentially reducing demand by 29 Mt and limiting growth to 50%."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</si>
</sst>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1" applyNumberFormat="1" applyFont="1"/>
    <xf numFmtId="164" fontId="0" fillId="0" borderId="0" xfId="0" applyNumberFormat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NumberFormat="1" applyFont="1"/>
    <xf numFmtId="0" fontId="4" fillId="0" borderId="0" xfId="0" applyFont="1" applyAlignment="1">
      <alignment horizontal="center" vertical="center"/>
    </xf>
    <xf numFmtId="0" fontId="5" fillId="0" borderId="0" xfId="2"/>
    <xf numFmtId="0" fontId="0" fillId="0" borderId="0" xfId="0" applyAlignment="1"/>
    <xf numFmtId="164" fontId="0" fillId="0" borderId="0" xfId="1" applyNumberFormat="1" applyFont="1" applyAlignment="1">
      <alignment horizontal="center" wrapText="1"/>
    </xf>
    <xf numFmtId="0" fontId="4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nternational-aluminium.org/wp-content/uploads/2022/09/Making-1.5-Aligned-Aluminium-possibl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8"/>
  <sheetViews>
    <sheetView workbookViewId="0">
      <selection activeCell="B1" sqref="B1:K1"/>
    </sheetView>
  </sheetViews>
  <sheetFormatPr defaultRowHeight="15" x14ac:dyDescent="0.25"/>
  <cols>
    <col min="1" max="1" width="14" customWidth="1"/>
    <col min="3" max="3" width="13.140625" customWidth="1"/>
    <col min="4" max="4" width="10" customWidth="1"/>
    <col min="5" max="5" width="13.5703125" customWidth="1"/>
    <col min="6" max="6" width="10" customWidth="1"/>
    <col min="7" max="7" width="18.140625" customWidth="1"/>
    <col min="8" max="8" width="11.85546875" customWidth="1"/>
    <col min="9" max="9" width="7" customWidth="1"/>
    <col min="10" max="10" width="8" customWidth="1"/>
    <col min="11" max="11" width="13.85546875" customWidth="1"/>
    <col min="12" max="12" width="9.7109375" bestFit="1" customWidth="1"/>
    <col min="13" max="13" width="18.5703125" customWidth="1"/>
    <col min="15" max="15" width="12.7109375" customWidth="1"/>
    <col min="17" max="17" width="13.140625" customWidth="1"/>
    <col min="18" max="18" width="10.7109375" customWidth="1"/>
    <col min="19" max="19" width="18.7109375" customWidth="1"/>
    <col min="20" max="20" width="13" customWidth="1"/>
    <col min="23" max="23" width="12.7109375" customWidth="1"/>
    <col min="24" max="24" width="9.7109375" bestFit="1" customWidth="1"/>
    <col min="25" max="25" width="19.42578125" customWidth="1"/>
    <col min="27" max="27" width="14.28515625" customWidth="1"/>
    <col min="29" max="29" width="13" customWidth="1"/>
    <col min="30" max="30" width="11" customWidth="1"/>
    <col min="31" max="31" width="19.42578125" customWidth="1"/>
    <col min="32" max="32" width="11.140625" customWidth="1"/>
    <col min="35" max="35" width="13" customWidth="1"/>
    <col min="36" max="36" width="9.7109375" bestFit="1" customWidth="1"/>
    <col min="37" max="37" width="10.42578125" customWidth="1"/>
    <col min="39" max="39" width="13.42578125" customWidth="1"/>
    <col min="41" max="41" width="14.42578125" customWidth="1"/>
    <col min="42" max="42" width="10.28515625" customWidth="1"/>
    <col min="43" max="43" width="14.140625" customWidth="1"/>
    <col min="44" max="44" width="11.5703125" customWidth="1"/>
    <col min="47" max="47" width="13.85546875" customWidth="1"/>
    <col min="48" max="48" width="9.7109375" bestFit="1" customWidth="1"/>
  </cols>
  <sheetData>
    <row r="1" spans="1:47" x14ac:dyDescent="0.25">
      <c r="A1" s="1" t="s">
        <v>10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</v>
      </c>
      <c r="J1" t="s">
        <v>8</v>
      </c>
      <c r="K1" t="s">
        <v>9</v>
      </c>
      <c r="M1" s="1" t="s">
        <v>11</v>
      </c>
      <c r="N1" t="s">
        <v>0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1</v>
      </c>
      <c r="V1" t="s">
        <v>8</v>
      </c>
      <c r="W1" t="s">
        <v>9</v>
      </c>
      <c r="Y1" s="1" t="s">
        <v>12</v>
      </c>
      <c r="Z1" t="s">
        <v>0</v>
      </c>
      <c r="AA1" t="s">
        <v>2</v>
      </c>
      <c r="AB1" t="s">
        <v>3</v>
      </c>
      <c r="AC1" t="s">
        <v>4</v>
      </c>
      <c r="AD1" t="s">
        <v>5</v>
      </c>
      <c r="AE1" t="s">
        <v>6</v>
      </c>
      <c r="AF1" t="s">
        <v>7</v>
      </c>
      <c r="AG1" t="s">
        <v>1</v>
      </c>
      <c r="AH1" t="s">
        <v>8</v>
      </c>
      <c r="AI1" t="s">
        <v>9</v>
      </c>
      <c r="AK1" s="1" t="s">
        <v>13</v>
      </c>
      <c r="AL1" t="s">
        <v>0</v>
      </c>
      <c r="AM1" t="s">
        <v>2</v>
      </c>
      <c r="AN1" t="s">
        <v>3</v>
      </c>
      <c r="AO1" t="s">
        <v>4</v>
      </c>
      <c r="AP1" t="s">
        <v>5</v>
      </c>
      <c r="AQ1" t="s">
        <v>6</v>
      </c>
      <c r="AR1" t="s">
        <v>7</v>
      </c>
      <c r="AS1" t="s">
        <v>1</v>
      </c>
      <c r="AT1" t="s">
        <v>8</v>
      </c>
      <c r="AU1" t="s">
        <v>9</v>
      </c>
    </row>
    <row r="2" spans="1:47" x14ac:dyDescent="0.25">
      <c r="A2">
        <v>2024</v>
      </c>
      <c r="B2">
        <v>52063.346219843479</v>
      </c>
      <c r="C2">
        <v>12091.97664009119</v>
      </c>
      <c r="D2">
        <v>19675.334033557621</v>
      </c>
      <c r="E2">
        <v>3206.1493416748058</v>
      </c>
      <c r="F2">
        <v>12335.054035392899</v>
      </c>
      <c r="G2">
        <v>4675.8185423877494</v>
      </c>
      <c r="H2">
        <v>2377.6877615141061</v>
      </c>
      <c r="I2">
        <v>2168.6251158609712</v>
      </c>
      <c r="J2">
        <v>1277.6313758039</v>
      </c>
      <c r="K2">
        <v>7513.8260001502395</v>
      </c>
      <c r="M2">
        <v>2024</v>
      </c>
      <c r="N2">
        <v>47590.729010287694</v>
      </c>
      <c r="O2">
        <v>3022.5071228175175</v>
      </c>
      <c r="P2">
        <v>4341.2140961793166</v>
      </c>
      <c r="Q2">
        <v>1146.2752663283266</v>
      </c>
      <c r="R2">
        <v>5338.3826075459929</v>
      </c>
      <c r="S2">
        <v>7522.9687984459133</v>
      </c>
      <c r="T2">
        <v>4631.2701539432546</v>
      </c>
      <c r="U2">
        <v>83.016619930723976</v>
      </c>
      <c r="V2">
        <v>130.30303831261577</v>
      </c>
      <c r="W2">
        <v>416.50110350583964</v>
      </c>
      <c r="Y2">
        <v>2024</v>
      </c>
      <c r="Z2">
        <v>20899.863713578612</v>
      </c>
      <c r="AA2">
        <v>6903.0847179370821</v>
      </c>
      <c r="AB2">
        <v>10184.143045590978</v>
      </c>
      <c r="AC2">
        <v>1988.6997758589903</v>
      </c>
      <c r="AD2">
        <v>4748.8629558020266</v>
      </c>
      <c r="AE2">
        <v>1840.6123761563545</v>
      </c>
      <c r="AF2">
        <v>695.33408019355977</v>
      </c>
      <c r="AG2">
        <v>1992.3988783373688</v>
      </c>
      <c r="AH2">
        <v>357.87278468690994</v>
      </c>
      <c r="AI2">
        <v>234.28187072203485</v>
      </c>
      <c r="AK2">
        <v>2024</v>
      </c>
      <c r="AL2">
        <v>21700.116289334292</v>
      </c>
      <c r="AM2">
        <v>7052.112260252391</v>
      </c>
      <c r="AN2">
        <v>9306.193389398808</v>
      </c>
      <c r="AO2">
        <v>2156.4622556809718</v>
      </c>
      <c r="AP2">
        <v>5321.6410180583998</v>
      </c>
      <c r="AQ2">
        <v>2186.9318954459568</v>
      </c>
      <c r="AR2">
        <v>938.8731102830925</v>
      </c>
      <c r="AS2">
        <v>1909.9176065504671</v>
      </c>
      <c r="AT2">
        <v>363.34277751356791</v>
      </c>
      <c r="AU2">
        <v>1521.85860557879</v>
      </c>
    </row>
    <row r="3" spans="1:47" x14ac:dyDescent="0.25">
      <c r="A3">
        <v>2025</v>
      </c>
      <c r="B3">
        <v>48201.403313576819</v>
      </c>
      <c r="C3">
        <v>11192.711205768301</v>
      </c>
      <c r="D3">
        <v>15259.78270153945</v>
      </c>
      <c r="E3">
        <v>3252.4939531501868</v>
      </c>
      <c r="F3">
        <v>13252.913902012089</v>
      </c>
      <c r="G3">
        <v>6481.0240951843598</v>
      </c>
      <c r="H3">
        <v>2975.9626714265241</v>
      </c>
      <c r="I3">
        <v>2065.232543484351</v>
      </c>
      <c r="J3">
        <v>1435.259332648558</v>
      </c>
      <c r="K3">
        <v>7574.5945135743814</v>
      </c>
      <c r="M3">
        <v>2025</v>
      </c>
      <c r="N3">
        <v>43065.226331879378</v>
      </c>
      <c r="O3">
        <v>2198.6574657417877</v>
      </c>
      <c r="P3">
        <v>2184.8087817273035</v>
      </c>
      <c r="Q3">
        <v>1157.7530539357347</v>
      </c>
      <c r="R3">
        <v>5702.9483136442868</v>
      </c>
      <c r="S3">
        <v>11153.875602215569</v>
      </c>
      <c r="T3">
        <v>5759.6018964864106</v>
      </c>
      <c r="U3">
        <v>108.8749061744946</v>
      </c>
      <c r="V3">
        <v>159.84983849485502</v>
      </c>
      <c r="W3">
        <v>576.20885381017797</v>
      </c>
      <c r="Y3">
        <v>2025</v>
      </c>
      <c r="Z3">
        <v>20615.110474867579</v>
      </c>
      <c r="AA3">
        <v>6981.591137649868</v>
      </c>
      <c r="AB3">
        <v>9213.1314555048139</v>
      </c>
      <c r="AC3">
        <v>2048.6391428969237</v>
      </c>
      <c r="AD3">
        <v>5055.5589671554799</v>
      </c>
      <c r="AE3">
        <v>2077.5853006736597</v>
      </c>
      <c r="AF3">
        <v>891.92945476893783</v>
      </c>
      <c r="AG3">
        <v>2612.9977481878636</v>
      </c>
      <c r="AH3">
        <v>439.02204871586605</v>
      </c>
      <c r="AI3">
        <v>324.11748026822494</v>
      </c>
      <c r="AK3">
        <v>2025</v>
      </c>
      <c r="AL3">
        <v>22829.86107496062</v>
      </c>
      <c r="AM3">
        <v>6972.7719605702214</v>
      </c>
      <c r="AN3">
        <v>9121.6993628406017</v>
      </c>
      <c r="AO3">
        <v>2236.3619932939318</v>
      </c>
      <c r="AP3">
        <v>5693.3159291078664</v>
      </c>
      <c r="AQ3">
        <v>2491.770130260385</v>
      </c>
      <c r="AR3">
        <v>1061.8585740378901</v>
      </c>
      <c r="AS3">
        <v>2138.910508310285</v>
      </c>
      <c r="AT3">
        <v>410.49429097515099</v>
      </c>
      <c r="AU3">
        <v>1825.8742046659579</v>
      </c>
    </row>
    <row r="4" spans="1:47" x14ac:dyDescent="0.25">
      <c r="A4">
        <v>2026</v>
      </c>
      <c r="B4">
        <v>47471.367185229683</v>
      </c>
      <c r="C4">
        <v>11194.6087094635</v>
      </c>
      <c r="D4">
        <v>15263.074502124069</v>
      </c>
      <c r="E4">
        <v>3340.672901478099</v>
      </c>
      <c r="F4">
        <v>14090.173774704899</v>
      </c>
      <c r="G4">
        <v>6391.6950932598793</v>
      </c>
      <c r="H4">
        <v>2950.6165427279361</v>
      </c>
      <c r="I4">
        <v>1996.2944147995161</v>
      </c>
      <c r="J4">
        <v>1426.750797343291</v>
      </c>
      <c r="K4">
        <v>8456.2836698967712</v>
      </c>
      <c r="M4">
        <v>2026</v>
      </c>
      <c r="N4">
        <v>41038.08896325597</v>
      </c>
      <c r="O4">
        <v>2267.931897017922</v>
      </c>
      <c r="P4">
        <v>2359.3885955429037</v>
      </c>
      <c r="Q4">
        <v>1163.4254784990105</v>
      </c>
      <c r="R4">
        <v>6040.948623560641</v>
      </c>
      <c r="S4">
        <v>10657.455056932809</v>
      </c>
      <c r="T4">
        <v>5600.3246997530669</v>
      </c>
      <c r="U4">
        <v>99.965154950274638</v>
      </c>
      <c r="V4">
        <v>163.39198285186507</v>
      </c>
      <c r="W4">
        <v>617.58748856792249</v>
      </c>
      <c r="Y4">
        <v>2026</v>
      </c>
      <c r="Z4">
        <v>21688.368021212591</v>
      </c>
      <c r="AA4">
        <v>6903.0442409645193</v>
      </c>
      <c r="AB4">
        <v>9030.482369212199</v>
      </c>
      <c r="AC4">
        <v>2124.5438936292353</v>
      </c>
      <c r="AD4">
        <v>5408.6501326524749</v>
      </c>
      <c r="AE4">
        <v>2367.1816237473658</v>
      </c>
      <c r="AF4">
        <v>1008.7656453359955</v>
      </c>
      <c r="AG4">
        <v>2399.1637188065847</v>
      </c>
      <c r="AH4">
        <v>448.75042559196748</v>
      </c>
      <c r="AI4">
        <v>347.39296231945639</v>
      </c>
      <c r="AK4">
        <v>2026</v>
      </c>
      <c r="AL4">
        <v>24444.031658823191</v>
      </c>
      <c r="AM4">
        <v>7012.2847900163824</v>
      </c>
      <c r="AN4">
        <v>9179.9226377773157</v>
      </c>
      <c r="AO4">
        <v>2323.914972334017</v>
      </c>
      <c r="AP4">
        <v>6121.6177293998526</v>
      </c>
      <c r="AQ4">
        <v>2521.1849286574688</v>
      </c>
      <c r="AR4">
        <v>1091.274149804397</v>
      </c>
      <c r="AS4">
        <v>2054.7872478154491</v>
      </c>
      <c r="AT4">
        <v>425.23935902077187</v>
      </c>
      <c r="AU4">
        <v>2054.4106704007022</v>
      </c>
    </row>
    <row r="5" spans="1:47" x14ac:dyDescent="0.25">
      <c r="A5">
        <v>2027</v>
      </c>
      <c r="B5">
        <v>46657.245930944613</v>
      </c>
      <c r="C5">
        <v>11209.220194277819</v>
      </c>
      <c r="D5">
        <v>15202.142330034059</v>
      </c>
      <c r="E5">
        <v>3425.1026297690019</v>
      </c>
      <c r="F5">
        <v>14950.26555066479</v>
      </c>
      <c r="G5">
        <v>6339.5869649082406</v>
      </c>
      <c r="H5">
        <v>2928.16804716653</v>
      </c>
      <c r="I5">
        <v>1933.829117553551</v>
      </c>
      <c r="J5">
        <v>1421.0702115826759</v>
      </c>
      <c r="K5">
        <v>9322.6426579322142</v>
      </c>
      <c r="M5">
        <v>2027</v>
      </c>
      <c r="N5">
        <v>38437.342203508881</v>
      </c>
      <c r="O5">
        <v>2230.5899552179712</v>
      </c>
      <c r="P5">
        <v>2247.4730499297966</v>
      </c>
      <c r="Q5">
        <v>1158.507401150192</v>
      </c>
      <c r="R5">
        <v>6343.9570159027635</v>
      </c>
      <c r="S5">
        <v>10502.908399533435</v>
      </c>
      <c r="T5">
        <v>5536.8130425804347</v>
      </c>
      <c r="U5">
        <v>92.074977541640493</v>
      </c>
      <c r="V5">
        <v>166.36916304382302</v>
      </c>
      <c r="W5">
        <v>659.55009745220411</v>
      </c>
      <c r="Y5">
        <v>2027</v>
      </c>
      <c r="Z5">
        <v>23221.83007588203</v>
      </c>
      <c r="AA5">
        <v>6942.1619421162177</v>
      </c>
      <c r="AB5">
        <v>9088.1234113995433</v>
      </c>
      <c r="AC5">
        <v>2207.7192237173158</v>
      </c>
      <c r="AD5">
        <v>5815.5368429298605</v>
      </c>
      <c r="AE5">
        <v>2395.125682224595</v>
      </c>
      <c r="AF5">
        <v>1036.710442314177</v>
      </c>
      <c r="AG5">
        <v>2209.7994609993652</v>
      </c>
      <c r="AH5">
        <v>456.92714794324939</v>
      </c>
      <c r="AI5">
        <v>370.99692981686485</v>
      </c>
      <c r="AK5">
        <v>2027</v>
      </c>
      <c r="AL5">
        <v>26085.44727093523</v>
      </c>
      <c r="AM5">
        <v>7060.1944518291166</v>
      </c>
      <c r="AN5">
        <v>9246.6728261004555</v>
      </c>
      <c r="AO5">
        <v>2407.2061293399038</v>
      </c>
      <c r="AP5">
        <v>6564.9612119690373</v>
      </c>
      <c r="AQ5">
        <v>2549.8796910609121</v>
      </c>
      <c r="AR5">
        <v>1117.0030563100891</v>
      </c>
      <c r="AS5">
        <v>1980.43965531716</v>
      </c>
      <c r="AT5">
        <v>437.71210716858991</v>
      </c>
      <c r="AU5">
        <v>2276.464463624633</v>
      </c>
    </row>
    <row r="6" spans="1:47" x14ac:dyDescent="0.25">
      <c r="A6">
        <v>2028</v>
      </c>
      <c r="B6">
        <v>45757.149047579573</v>
      </c>
      <c r="C6">
        <v>11249.62730350631</v>
      </c>
      <c r="D6">
        <v>15313.380492084079</v>
      </c>
      <c r="E6">
        <v>3504.316508764739</v>
      </c>
      <c r="F6">
        <v>15833.53273591518</v>
      </c>
      <c r="G6">
        <v>6267.0579425487749</v>
      </c>
      <c r="H6">
        <v>2907.0240783997301</v>
      </c>
      <c r="I6">
        <v>1878.428301017371</v>
      </c>
      <c r="J6">
        <v>1415.0803027206589</v>
      </c>
      <c r="K6">
        <v>10178.970281907479</v>
      </c>
      <c r="M6">
        <v>2028</v>
      </c>
      <c r="N6">
        <v>35697.451838269626</v>
      </c>
      <c r="O6">
        <v>2206.3578438047075</v>
      </c>
      <c r="P6">
        <v>2252.3019133430525</v>
      </c>
      <c r="Q6">
        <v>1152.8381430686018</v>
      </c>
      <c r="R6">
        <v>6652.2994647815622</v>
      </c>
      <c r="S6">
        <v>10312.175734957746</v>
      </c>
      <c r="T6">
        <v>5480.0088988789666</v>
      </c>
      <c r="U6">
        <v>85.121957922331092</v>
      </c>
      <c r="V6">
        <v>168.55033911744096</v>
      </c>
      <c r="W6">
        <v>702.15870482313358</v>
      </c>
      <c r="Y6">
        <v>2028</v>
      </c>
      <c r="Z6">
        <v>24781.174907388468</v>
      </c>
      <c r="AA6">
        <v>6989.5925073108256</v>
      </c>
      <c r="AB6">
        <v>9154.2060978394475</v>
      </c>
      <c r="AC6">
        <v>2286.8458228729078</v>
      </c>
      <c r="AD6">
        <v>6236.7131513705854</v>
      </c>
      <c r="AE6">
        <v>2422.3857065078669</v>
      </c>
      <c r="AF6">
        <v>1061.1529034945845</v>
      </c>
      <c r="AG6">
        <v>2042.9269901359405</v>
      </c>
      <c r="AH6">
        <v>462.91767253474336</v>
      </c>
      <c r="AI6">
        <v>394.96427146301261</v>
      </c>
      <c r="AK6">
        <v>2028</v>
      </c>
      <c r="AL6">
        <v>27722.57185643788</v>
      </c>
      <c r="AM6">
        <v>7118.8717571904117</v>
      </c>
      <c r="AN6">
        <v>9341.8880822624906</v>
      </c>
      <c r="AO6">
        <v>2487.3171823916009</v>
      </c>
      <c r="AP6">
        <v>7025.4853990459123</v>
      </c>
      <c r="AQ6">
        <v>2571.0894343777109</v>
      </c>
      <c r="AR6">
        <v>1139.0006859006739</v>
      </c>
      <c r="AS6">
        <v>1915.2022385018661</v>
      </c>
      <c r="AT6">
        <v>447.7404928494542</v>
      </c>
      <c r="AU6">
        <v>2494.0954045426361</v>
      </c>
    </row>
    <row r="7" spans="1:47" x14ac:dyDescent="0.25">
      <c r="A7">
        <v>2029</v>
      </c>
      <c r="B7">
        <v>44934.918727871758</v>
      </c>
      <c r="C7">
        <v>11284.087040075679</v>
      </c>
      <c r="D7">
        <v>15397.799976725109</v>
      </c>
      <c r="E7">
        <v>3580.168150178823</v>
      </c>
      <c r="F7">
        <v>16734.678184355209</v>
      </c>
      <c r="G7">
        <v>6206.3319168348653</v>
      </c>
      <c r="H7">
        <v>2886.6693414845208</v>
      </c>
      <c r="I7">
        <v>1828.91489404566</v>
      </c>
      <c r="J7">
        <v>1403.942827733541</v>
      </c>
      <c r="K7">
        <v>11041.419580809959</v>
      </c>
      <c r="M7">
        <v>2029</v>
      </c>
      <c r="N7">
        <v>33068.021850821184</v>
      </c>
      <c r="O7">
        <v>2167.0156111681745</v>
      </c>
      <c r="P7">
        <v>2209.6926188156922</v>
      </c>
      <c r="Q7">
        <v>1147.1396045667436</v>
      </c>
      <c r="R7">
        <v>6960.1408716540145</v>
      </c>
      <c r="S7">
        <v>10156.148677674766</v>
      </c>
      <c r="T7">
        <v>5428.5831523984079</v>
      </c>
      <c r="U7">
        <v>78.990757976423723</v>
      </c>
      <c r="V7">
        <v>169.62001071927071</v>
      </c>
      <c r="W7">
        <v>746.34655751054527</v>
      </c>
      <c r="Y7">
        <v>2029</v>
      </c>
      <c r="Z7">
        <v>26336.44326361598</v>
      </c>
      <c r="AA7">
        <v>7047.6830396185069</v>
      </c>
      <c r="AB7">
        <v>9248.4692014398643</v>
      </c>
      <c r="AC7">
        <v>2362.951323272021</v>
      </c>
      <c r="AD7">
        <v>6674.2111290936218</v>
      </c>
      <c r="AE7">
        <v>2442.5349626588245</v>
      </c>
      <c r="AF7">
        <v>1082.0506516056403</v>
      </c>
      <c r="AG7">
        <v>1895.7781914341633</v>
      </c>
      <c r="AH7">
        <v>465.85548856577782</v>
      </c>
      <c r="AI7">
        <v>419.81993859968162</v>
      </c>
      <c r="AK7">
        <v>2029</v>
      </c>
      <c r="AL7">
        <v>29337.98794481362</v>
      </c>
      <c r="AM7">
        <v>7182.7296876528653</v>
      </c>
      <c r="AN7">
        <v>9456.0547358003423</v>
      </c>
      <c r="AO7">
        <v>2565.6984173213382</v>
      </c>
      <c r="AP7">
        <v>7503.203604742228</v>
      </c>
      <c r="AQ7">
        <v>2590.2704848514391</v>
      </c>
      <c r="AR7">
        <v>1158.0460504352041</v>
      </c>
      <c r="AS7">
        <v>1858.061267595391</v>
      </c>
      <c r="AT7">
        <v>455.12835546320088</v>
      </c>
      <c r="AU7">
        <v>2711.1774140437728</v>
      </c>
    </row>
    <row r="8" spans="1:47" x14ac:dyDescent="0.25">
      <c r="A8">
        <v>2030</v>
      </c>
      <c r="B8">
        <v>44228.459556967558</v>
      </c>
      <c r="C8">
        <v>11312.052068034671</v>
      </c>
      <c r="D8">
        <v>15479.544885985089</v>
      </c>
      <c r="E8">
        <v>3654.9463767191442</v>
      </c>
      <c r="F8">
        <v>17655.634588369921</v>
      </c>
      <c r="G8">
        <v>6157.6505592708336</v>
      </c>
      <c r="H8">
        <v>2867.3739490979301</v>
      </c>
      <c r="I8">
        <v>1783.4035877222079</v>
      </c>
      <c r="J8">
        <v>1395.035528658691</v>
      </c>
      <c r="K8">
        <v>11906.651831027009</v>
      </c>
      <c r="M8">
        <v>2030</v>
      </c>
      <c r="N8">
        <v>30619.569282265507</v>
      </c>
      <c r="O8">
        <v>2117.4734879764437</v>
      </c>
      <c r="P8">
        <v>2146.6741011773433</v>
      </c>
      <c r="Q8">
        <v>1142.2188522884278</v>
      </c>
      <c r="R8">
        <v>7269.4890603312124</v>
      </c>
      <c r="S8">
        <v>10029.580381911161</v>
      </c>
      <c r="T8">
        <v>5381.8217698404751</v>
      </c>
      <c r="U8">
        <v>73.564312405915757</v>
      </c>
      <c r="V8">
        <v>170.37611704447727</v>
      </c>
      <c r="W8">
        <v>792.08859955846583</v>
      </c>
      <c r="Y8">
        <v>2030</v>
      </c>
      <c r="Z8">
        <v>27871.088547572937</v>
      </c>
      <c r="AA8">
        <v>7110.9023907763367</v>
      </c>
      <c r="AB8">
        <v>9361.4941884423333</v>
      </c>
      <c r="AC8">
        <v>2437.4134964552713</v>
      </c>
      <c r="AD8">
        <v>7128.0434245051147</v>
      </c>
      <c r="AE8">
        <v>2460.7569606088682</v>
      </c>
      <c r="AF8">
        <v>1100.1437479134438</v>
      </c>
      <c r="AG8">
        <v>1765.5434977419729</v>
      </c>
      <c r="AH8">
        <v>467.93210841766421</v>
      </c>
      <c r="AI8">
        <v>445.54983725163692</v>
      </c>
      <c r="AK8">
        <v>2030</v>
      </c>
      <c r="AL8">
        <v>30896.612058839059</v>
      </c>
      <c r="AM8">
        <v>7250.8538683594561</v>
      </c>
      <c r="AN8">
        <v>9588.7745544404188</v>
      </c>
      <c r="AO8">
        <v>2643.5621041500272</v>
      </c>
      <c r="AP8">
        <v>7998.1551035964658</v>
      </c>
      <c r="AQ8">
        <v>2609.2491325206902</v>
      </c>
      <c r="AR8">
        <v>1175.479236937226</v>
      </c>
      <c r="AS8">
        <v>1807.9571426789389</v>
      </c>
      <c r="AT8">
        <v>461.18890995450488</v>
      </c>
      <c r="AU8">
        <v>2928.9661701862842</v>
      </c>
    </row>
    <row r="9" spans="1:47" x14ac:dyDescent="0.25">
      <c r="A9">
        <v>2031</v>
      </c>
      <c r="B9">
        <v>43614.900738585668</v>
      </c>
      <c r="C9">
        <v>11351.992806334531</v>
      </c>
      <c r="D9">
        <v>15556.93253505258</v>
      </c>
      <c r="E9">
        <v>3727.4543189309438</v>
      </c>
      <c r="F9">
        <v>18589.28504930744</v>
      </c>
      <c r="G9">
        <v>6124.0491782124627</v>
      </c>
      <c r="H9">
        <v>2858.9829213226531</v>
      </c>
      <c r="I9">
        <v>1741.365965929966</v>
      </c>
      <c r="J9">
        <v>1384.907146911999</v>
      </c>
      <c r="K9">
        <v>12771.093001117069</v>
      </c>
      <c r="M9">
        <v>2031</v>
      </c>
      <c r="N9">
        <v>28358.306915471821</v>
      </c>
      <c r="O9">
        <v>2073.5136879315287</v>
      </c>
      <c r="P9">
        <v>2062.7141574199832</v>
      </c>
      <c r="Q9">
        <v>1135.7174022189881</v>
      </c>
      <c r="R9">
        <v>7574.7900865267811</v>
      </c>
      <c r="S9">
        <v>9936.2355752503045</v>
      </c>
      <c r="T9">
        <v>5359.9417904331958</v>
      </c>
      <c r="U9">
        <v>68.782115428613864</v>
      </c>
      <c r="V9">
        <v>170.65388389121395</v>
      </c>
      <c r="W9">
        <v>839.42705308917391</v>
      </c>
      <c r="Y9">
        <v>2031</v>
      </c>
      <c r="Z9">
        <v>29351.781455897104</v>
      </c>
      <c r="AA9">
        <v>7178.3453296758616</v>
      </c>
      <c r="AB9">
        <v>9492.8868088960153</v>
      </c>
      <c r="AC9">
        <v>2511.383998942526</v>
      </c>
      <c r="AD9">
        <v>7598.2473484166421</v>
      </c>
      <c r="AE9">
        <v>2478.7866758946561</v>
      </c>
      <c r="AF9">
        <v>1116.7052750903647</v>
      </c>
      <c r="AG9">
        <v>1650.7707702867274</v>
      </c>
      <c r="AH9">
        <v>468.69498544818163</v>
      </c>
      <c r="AI9">
        <v>472.17771736266025</v>
      </c>
      <c r="AK9">
        <v>2031</v>
      </c>
      <c r="AL9">
        <v>32360.136369736381</v>
      </c>
      <c r="AM9">
        <v>7325.6757278447913</v>
      </c>
      <c r="AN9">
        <v>9736.3506714492942</v>
      </c>
      <c r="AO9">
        <v>2721.3128501307392</v>
      </c>
      <c r="AP9">
        <v>8507.7174486019558</v>
      </c>
      <c r="AQ9">
        <v>2630.3102409113121</v>
      </c>
      <c r="AR9">
        <v>1194.491016962166</v>
      </c>
      <c r="AS9">
        <v>1764.3308534831251</v>
      </c>
      <c r="AT9">
        <v>465.96226080812443</v>
      </c>
      <c r="AU9">
        <v>3147.1996183589749</v>
      </c>
    </row>
    <row r="10" spans="1:47" x14ac:dyDescent="0.25">
      <c r="A10">
        <v>2032</v>
      </c>
      <c r="B10">
        <v>43078.629862746857</v>
      </c>
      <c r="C10">
        <v>11392.705406409639</v>
      </c>
      <c r="D10">
        <v>15642.17213688556</v>
      </c>
      <c r="E10">
        <v>3797.8368044146901</v>
      </c>
      <c r="F10">
        <v>19525.5382655018</v>
      </c>
      <c r="G10">
        <v>6110.9854952453097</v>
      </c>
      <c r="H10">
        <v>2864.7022906442489</v>
      </c>
      <c r="I10">
        <v>1704.0938984785951</v>
      </c>
      <c r="J10">
        <v>1373.7763842883139</v>
      </c>
      <c r="K10">
        <v>13629.360356981149</v>
      </c>
      <c r="M10">
        <v>2032</v>
      </c>
      <c r="N10">
        <v>26301.145043783541</v>
      </c>
      <c r="O10">
        <v>2023.6888232874501</v>
      </c>
      <c r="P10">
        <v>1970.7881931587544</v>
      </c>
      <c r="Q10">
        <v>1127.3980125734938</v>
      </c>
      <c r="R10">
        <v>7870.3788133937824</v>
      </c>
      <c r="S10">
        <v>9884.2607368953941</v>
      </c>
      <c r="T10">
        <v>5366.1187836449935</v>
      </c>
      <c r="U10">
        <v>64.652428169052797</v>
      </c>
      <c r="V10">
        <v>170.60483919775706</v>
      </c>
      <c r="W10">
        <v>888.30610242939292</v>
      </c>
      <c r="Y10">
        <v>2032</v>
      </c>
      <c r="Z10">
        <v>30742.12955124956</v>
      </c>
      <c r="AA10">
        <v>7252.418970566343</v>
      </c>
      <c r="AB10">
        <v>9638.9871647348027</v>
      </c>
      <c r="AC10">
        <v>2585.2472076242025</v>
      </c>
      <c r="AD10">
        <v>8082.3315761718577</v>
      </c>
      <c r="AE10">
        <v>2498.794728865746</v>
      </c>
      <c r="AF10">
        <v>1134.7664661140575</v>
      </c>
      <c r="AG10">
        <v>1551.6582760572624</v>
      </c>
      <c r="AH10">
        <v>468.56028589513357</v>
      </c>
      <c r="AI10">
        <v>499.67218261653341</v>
      </c>
      <c r="AK10">
        <v>2032</v>
      </c>
      <c r="AL10">
        <v>33701.885907944838</v>
      </c>
      <c r="AM10">
        <v>7404.9136650841228</v>
      </c>
      <c r="AN10">
        <v>9894.3292096896148</v>
      </c>
      <c r="AO10">
        <v>2799.0237372598349</v>
      </c>
      <c r="AP10">
        <v>9028.0586692090947</v>
      </c>
      <c r="AQ10">
        <v>2655.8530844247971</v>
      </c>
      <c r="AR10">
        <v>1217.361313605775</v>
      </c>
      <c r="AS10">
        <v>1727.2963189105581</v>
      </c>
      <c r="AT10">
        <v>469.90598569313511</v>
      </c>
      <c r="AU10">
        <v>3364.0686030843922</v>
      </c>
    </row>
    <row r="11" spans="1:47" x14ac:dyDescent="0.25">
      <c r="A11">
        <v>2033</v>
      </c>
      <c r="B11">
        <v>42618.003557506512</v>
      </c>
      <c r="C11">
        <v>11433.336813731299</v>
      </c>
      <c r="D11">
        <v>15733.83321291038</v>
      </c>
      <c r="E11">
        <v>3865.4845798256179</v>
      </c>
      <c r="F11">
        <v>20459.725760067609</v>
      </c>
      <c r="G11">
        <v>6115.1170447799404</v>
      </c>
      <c r="H11">
        <v>2878.7113251581709</v>
      </c>
      <c r="I11">
        <v>1671.7443290227141</v>
      </c>
      <c r="J11">
        <v>1369.1305111129791</v>
      </c>
      <c r="K11">
        <v>14475.188055040009</v>
      </c>
      <c r="M11">
        <v>2033</v>
      </c>
      <c r="N11">
        <v>24469.812510899214</v>
      </c>
      <c r="O11">
        <v>1969.605383330261</v>
      </c>
      <c r="P11">
        <v>1874.8196357476995</v>
      </c>
      <c r="Q11">
        <v>1116.6053516956313</v>
      </c>
      <c r="R11">
        <v>8155.9075094912378</v>
      </c>
      <c r="S11">
        <v>9863.6417364311801</v>
      </c>
      <c r="T11">
        <v>5383.7840326874903</v>
      </c>
      <c r="U11">
        <v>61.167017213503186</v>
      </c>
      <c r="V11">
        <v>171.03561470908446</v>
      </c>
      <c r="W11">
        <v>938.48575195962815</v>
      </c>
      <c r="Y11">
        <v>2033</v>
      </c>
      <c r="Z11">
        <v>32016.791612547593</v>
      </c>
      <c r="AA11">
        <v>7330.8645284332815</v>
      </c>
      <c r="AB11">
        <v>9795.3859175927246</v>
      </c>
      <c r="AC11">
        <v>2659.0725503968429</v>
      </c>
      <c r="AD11">
        <v>8576.6557357486363</v>
      </c>
      <c r="AE11">
        <v>2523.0604302035563</v>
      </c>
      <c r="AF11">
        <v>1156.493247925486</v>
      </c>
      <c r="AG11">
        <v>1468.0084131240715</v>
      </c>
      <c r="AH11">
        <v>469.74339592702546</v>
      </c>
      <c r="AI11">
        <v>527.89823547729088</v>
      </c>
      <c r="AK11">
        <v>2033</v>
      </c>
      <c r="AL11">
        <v>34911.581108233833</v>
      </c>
      <c r="AM11">
        <v>7487.8977377083011</v>
      </c>
      <c r="AN11">
        <v>10056.6574341083</v>
      </c>
      <c r="AO11">
        <v>2876.312694652976</v>
      </c>
      <c r="AP11">
        <v>9556.2938063165366</v>
      </c>
      <c r="AQ11">
        <v>2686.5239179782202</v>
      </c>
      <c r="AR11">
        <v>1244.6905794539</v>
      </c>
      <c r="AS11">
        <v>1696.915894812133</v>
      </c>
      <c r="AT11">
        <v>474.35543277527938</v>
      </c>
      <c r="AU11">
        <v>3576.7519911959539</v>
      </c>
    </row>
    <row r="12" spans="1:47" x14ac:dyDescent="0.25">
      <c r="A12">
        <v>2034</v>
      </c>
      <c r="B12">
        <v>42235.055683074323</v>
      </c>
      <c r="C12">
        <v>11481.21503670349</v>
      </c>
      <c r="D12">
        <v>15808.28607796434</v>
      </c>
      <c r="E12">
        <v>3931.9772244455148</v>
      </c>
      <c r="F12">
        <v>21386.67356782945</v>
      </c>
      <c r="G12">
        <v>6135.7861426735972</v>
      </c>
      <c r="H12">
        <v>2903.8835101747241</v>
      </c>
      <c r="I12">
        <v>1643.157398384172</v>
      </c>
      <c r="J12">
        <v>1364.824337754887</v>
      </c>
      <c r="K12">
        <v>15301.738280224299</v>
      </c>
      <c r="M12">
        <v>2034</v>
      </c>
      <c r="N12">
        <v>22872.859665166819</v>
      </c>
      <c r="O12">
        <v>1917.9168191755139</v>
      </c>
      <c r="P12">
        <v>1764.1858072888526</v>
      </c>
      <c r="Q12">
        <v>1105.2492840472507</v>
      </c>
      <c r="R12">
        <v>8429.4804974407616</v>
      </c>
      <c r="S12">
        <v>9871.3337858121504</v>
      </c>
      <c r="T12">
        <v>5417.9460798838891</v>
      </c>
      <c r="U12">
        <v>58.290767640767051</v>
      </c>
      <c r="V12">
        <v>171.45506048117764</v>
      </c>
      <c r="W12">
        <v>989.43060150930205</v>
      </c>
      <c r="Y12">
        <v>2034</v>
      </c>
      <c r="Z12">
        <v>33166.002052822136</v>
      </c>
      <c r="AA12">
        <v>7413.0187603312179</v>
      </c>
      <c r="AB12">
        <v>9956.0908597672205</v>
      </c>
      <c r="AC12">
        <v>2732.497059920327</v>
      </c>
      <c r="AD12">
        <v>9078.4791160007117</v>
      </c>
      <c r="AE12">
        <v>2552.1977220793087</v>
      </c>
      <c r="AF12">
        <v>1182.4560504812048</v>
      </c>
      <c r="AG12">
        <v>1398.9784233784048</v>
      </c>
      <c r="AH12">
        <v>470.89538922225472</v>
      </c>
      <c r="AI12">
        <v>556.55471334898277</v>
      </c>
      <c r="AK12">
        <v>2034</v>
      </c>
      <c r="AL12">
        <v>35993.54295395215</v>
      </c>
      <c r="AM12">
        <v>7575.3777906932382</v>
      </c>
      <c r="AN12">
        <v>10215.73373450514</v>
      </c>
      <c r="AO12">
        <v>2952.846438638026</v>
      </c>
      <c r="AP12">
        <v>10089.995609924081</v>
      </c>
      <c r="AQ12">
        <v>2722.4871056831939</v>
      </c>
      <c r="AR12">
        <v>1277.8898712146399</v>
      </c>
      <c r="AS12">
        <v>1673.035532087099</v>
      </c>
      <c r="AT12">
        <v>478.84933380463337</v>
      </c>
      <c r="AU12">
        <v>3782.3099873235719</v>
      </c>
    </row>
    <row r="13" spans="1:47" x14ac:dyDescent="0.25">
      <c r="A13">
        <v>2035</v>
      </c>
      <c r="B13">
        <v>41934.695339648613</v>
      </c>
      <c r="C13">
        <v>11527.09849185852</v>
      </c>
      <c r="D13">
        <v>15861.606290264799</v>
      </c>
      <c r="E13">
        <v>3994.8297034657498</v>
      </c>
      <c r="F13">
        <v>22301.61104097301</v>
      </c>
      <c r="G13">
        <v>6172.0551802484933</v>
      </c>
      <c r="H13">
        <v>2940.0372722105558</v>
      </c>
      <c r="I13">
        <v>1618.1083112090851</v>
      </c>
      <c r="J13">
        <v>1362.8623268180629</v>
      </c>
      <c r="K13">
        <v>16103.976106456559</v>
      </c>
      <c r="M13">
        <v>2035</v>
      </c>
      <c r="N13">
        <v>21507.315155365646</v>
      </c>
      <c r="O13">
        <v>1860.4549363384631</v>
      </c>
      <c r="P13">
        <v>1643.898100241664</v>
      </c>
      <c r="Q13">
        <v>1091.1561922285944</v>
      </c>
      <c r="R13">
        <v>8688.9486718677072</v>
      </c>
      <c r="S13">
        <v>9904.2436837677669</v>
      </c>
      <c r="T13">
        <v>5466.4120957890264</v>
      </c>
      <c r="U13">
        <v>56.018581157830667</v>
      </c>
      <c r="V13">
        <v>172.04330907742124</v>
      </c>
      <c r="W13">
        <v>1040.4149148613674</v>
      </c>
      <c r="Y13">
        <v>2035</v>
      </c>
      <c r="Z13">
        <v>34193.865806254536</v>
      </c>
      <c r="AA13">
        <v>7499.6240127863057</v>
      </c>
      <c r="AB13">
        <v>10113.576397160092</v>
      </c>
      <c r="AC13">
        <v>2805.2041167061238</v>
      </c>
      <c r="AD13">
        <v>9585.4958294278767</v>
      </c>
      <c r="AE13">
        <v>2586.362750399036</v>
      </c>
      <c r="AF13">
        <v>1213.9953776539078</v>
      </c>
      <c r="AG13">
        <v>1344.4459477879316</v>
      </c>
      <c r="AH13">
        <v>472.51099363142282</v>
      </c>
      <c r="AI13">
        <v>585.23338960951946</v>
      </c>
      <c r="AK13">
        <v>2035</v>
      </c>
      <c r="AL13">
        <v>36961.636051042471</v>
      </c>
      <c r="AM13">
        <v>7665.3031499390954</v>
      </c>
      <c r="AN13">
        <v>10365.675915238089</v>
      </c>
      <c r="AO13">
        <v>3027.8606415180438</v>
      </c>
      <c r="AP13">
        <v>10627.70687869918</v>
      </c>
      <c r="AQ13">
        <v>2763.1274037190192</v>
      </c>
      <c r="AR13">
        <v>1317.2782932273831</v>
      </c>
      <c r="AS13">
        <v>1655.710045139542</v>
      </c>
      <c r="AT13">
        <v>483.74273221177208</v>
      </c>
      <c r="AU13">
        <v>3978.9873032455448</v>
      </c>
    </row>
    <row r="14" spans="1:47" x14ac:dyDescent="0.25">
      <c r="A14">
        <v>2036</v>
      </c>
      <c r="B14">
        <v>41697.41845848658</v>
      </c>
      <c r="C14">
        <v>11570.1703429309</v>
      </c>
      <c r="D14">
        <v>15891.97544689303</v>
      </c>
      <c r="E14">
        <v>4052.0353417587839</v>
      </c>
      <c r="F14">
        <v>23202.500014549831</v>
      </c>
      <c r="G14">
        <v>6218.45988989125</v>
      </c>
      <c r="H14">
        <v>2985.7048494333071</v>
      </c>
      <c r="I14">
        <v>1599.5201025618589</v>
      </c>
      <c r="J14">
        <v>1364.190574773314</v>
      </c>
      <c r="K14">
        <v>16884.764748953829</v>
      </c>
      <c r="M14">
        <v>2036</v>
      </c>
      <c r="N14">
        <v>20329.055931550007</v>
      </c>
      <c r="O14">
        <v>1798.5952268394947</v>
      </c>
      <c r="P14">
        <v>1518.4661210867216</v>
      </c>
      <c r="Q14">
        <v>1072.9979280665293</v>
      </c>
      <c r="R14">
        <v>8933.46635489851</v>
      </c>
      <c r="S14">
        <v>9951.123443286122</v>
      </c>
      <c r="T14">
        <v>5525.8034370884488</v>
      </c>
      <c r="U14">
        <v>54.430760155872711</v>
      </c>
      <c r="V14">
        <v>172.83503940373211</v>
      </c>
      <c r="W14">
        <v>1090.9838484122743</v>
      </c>
      <c r="Y14">
        <v>2036</v>
      </c>
      <c r="Z14">
        <v>35113.554248490349</v>
      </c>
      <c r="AA14">
        <v>7588.6501184397039</v>
      </c>
      <c r="AB14">
        <v>10262.019156085718</v>
      </c>
      <c r="AC14">
        <v>2876.4676094421411</v>
      </c>
      <c r="AD14">
        <v>10096.32153476422</v>
      </c>
      <c r="AE14">
        <v>2624.9710335330669</v>
      </c>
      <c r="AF14">
        <v>1251.414378566014</v>
      </c>
      <c r="AG14">
        <v>1306.3382437409414</v>
      </c>
      <c r="AH14">
        <v>474.68545356932708</v>
      </c>
      <c r="AI14">
        <v>613.67841473190435</v>
      </c>
      <c r="AK14">
        <v>2036</v>
      </c>
      <c r="AL14">
        <v>37828.189785748298</v>
      </c>
      <c r="AM14">
        <v>7756.7879227970097</v>
      </c>
      <c r="AN14">
        <v>10502.137535599581</v>
      </c>
      <c r="AO14">
        <v>3100.7957432506801</v>
      </c>
      <c r="AP14">
        <v>11169.51962518443</v>
      </c>
      <c r="AQ14">
        <v>2806.7954939475849</v>
      </c>
      <c r="AR14">
        <v>1362.364817020964</v>
      </c>
      <c r="AS14">
        <v>1645.686097122003</v>
      </c>
      <c r="AT14">
        <v>489.12173310801933</v>
      </c>
      <c r="AU14">
        <v>4167.7196744564644</v>
      </c>
    </row>
    <row r="15" spans="1:47" x14ac:dyDescent="0.25">
      <c r="A15">
        <v>2037</v>
      </c>
      <c r="B15">
        <v>41520.806420101937</v>
      </c>
      <c r="C15">
        <v>11623.138625557171</v>
      </c>
      <c r="D15">
        <v>15907.080079836631</v>
      </c>
      <c r="E15">
        <v>4106.0975637123856</v>
      </c>
      <c r="F15">
        <v>24084.663946482629</v>
      </c>
      <c r="G15">
        <v>6270.5643026857233</v>
      </c>
      <c r="H15">
        <v>3038.9334121674829</v>
      </c>
      <c r="I15">
        <v>1585.9983191166041</v>
      </c>
      <c r="J15">
        <v>1365.9708625455139</v>
      </c>
      <c r="K15">
        <v>17649.229157278649</v>
      </c>
      <c r="M15">
        <v>2037</v>
      </c>
      <c r="N15">
        <v>19319.695115065559</v>
      </c>
      <c r="O15">
        <v>1743.5033594735821</v>
      </c>
      <c r="P15">
        <v>1397.3447747480827</v>
      </c>
      <c r="Q15">
        <v>1053.6948769831381</v>
      </c>
      <c r="R15">
        <v>9158.725835287325</v>
      </c>
      <c r="S15">
        <v>10004.343303166319</v>
      </c>
      <c r="T15">
        <v>5593.1508507338449</v>
      </c>
      <c r="U15">
        <v>53.477858837638919</v>
      </c>
      <c r="V15">
        <v>173.47946148610802</v>
      </c>
      <c r="W15">
        <v>1140.7580594913056</v>
      </c>
      <c r="Y15">
        <v>2037</v>
      </c>
      <c r="Z15">
        <v>35936.780296460878</v>
      </c>
      <c r="AA15">
        <v>7679.2200435690393</v>
      </c>
      <c r="AB15">
        <v>10397.116160243577</v>
      </c>
      <c r="AC15">
        <v>2945.7559560881455</v>
      </c>
      <c r="AD15">
        <v>10611.043643925208</v>
      </c>
      <c r="AE15">
        <v>2666.4557192502066</v>
      </c>
      <c r="AF15">
        <v>1294.2465761699157</v>
      </c>
      <c r="AG15">
        <v>1283.4686121033303</v>
      </c>
      <c r="AH15">
        <v>476.45533651388513</v>
      </c>
      <c r="AI15">
        <v>641.67640846385893</v>
      </c>
      <c r="AK15">
        <v>2037</v>
      </c>
      <c r="AL15">
        <v>38602.546073111793</v>
      </c>
      <c r="AM15">
        <v>7851.2002452005536</v>
      </c>
      <c r="AN15">
        <v>10622.941721222311</v>
      </c>
      <c r="AO15">
        <v>3171.931963610406</v>
      </c>
      <c r="AP15">
        <v>11715.968344018291</v>
      </c>
      <c r="AQ15">
        <v>2851.9766520877538</v>
      </c>
      <c r="AR15">
        <v>1412.1123263748059</v>
      </c>
      <c r="AS15">
        <v>1642.529595329692</v>
      </c>
      <c r="AT15">
        <v>494.47964050455209</v>
      </c>
      <c r="AU15">
        <v>4352.2247732213109</v>
      </c>
    </row>
    <row r="16" spans="1:47" x14ac:dyDescent="0.25">
      <c r="A16">
        <v>2038</v>
      </c>
      <c r="B16">
        <v>41400.511732956351</v>
      </c>
      <c r="C16">
        <v>11676.785163289071</v>
      </c>
      <c r="D16">
        <v>15896.81425056148</v>
      </c>
      <c r="E16">
        <v>4158.5943967929643</v>
      </c>
      <c r="F16">
        <v>24948.68352184254</v>
      </c>
      <c r="G16">
        <v>6329.4459316966268</v>
      </c>
      <c r="H16">
        <v>3097.3418938888062</v>
      </c>
      <c r="I16">
        <v>1576.981814205421</v>
      </c>
      <c r="J16">
        <v>1372.930702675829</v>
      </c>
      <c r="K16">
        <v>18408.455203633941</v>
      </c>
      <c r="M16">
        <v>2038</v>
      </c>
      <c r="N16">
        <v>18463.523805526063</v>
      </c>
      <c r="O16">
        <v>1686.3746636396947</v>
      </c>
      <c r="P16">
        <v>1274.5130693335436</v>
      </c>
      <c r="Q16">
        <v>1034.5010282438357</v>
      </c>
      <c r="R16">
        <v>9364.5861325878814</v>
      </c>
      <c r="S16">
        <v>10068.023034968379</v>
      </c>
      <c r="T16">
        <v>5665.6273092796791</v>
      </c>
      <c r="U16">
        <v>53.120333400083922</v>
      </c>
      <c r="V16">
        <v>174.33409512785903</v>
      </c>
      <c r="W16">
        <v>1189.8179262645547</v>
      </c>
      <c r="Y16">
        <v>2038</v>
      </c>
      <c r="Z16">
        <v>36672.418769456199</v>
      </c>
      <c r="AA16">
        <v>7772.6882427485471</v>
      </c>
      <c r="AB16">
        <v>10516.712304010089</v>
      </c>
      <c r="AC16">
        <v>3013.3353654298853</v>
      </c>
      <c r="AD16">
        <v>11130.169926817374</v>
      </c>
      <c r="AE16">
        <v>2709.377819483364</v>
      </c>
      <c r="AF16">
        <v>1341.5067100560657</v>
      </c>
      <c r="AG16">
        <v>1274.8880016020105</v>
      </c>
      <c r="AH16">
        <v>478.8025582304407</v>
      </c>
      <c r="AI16">
        <v>669.27258352381193</v>
      </c>
      <c r="AK16">
        <v>2038</v>
      </c>
      <c r="AL16">
        <v>39285.865581857201</v>
      </c>
      <c r="AM16">
        <v>7946.2807978214096</v>
      </c>
      <c r="AN16">
        <v>10726.13392140967</v>
      </c>
      <c r="AO16">
        <v>3241.860372177292</v>
      </c>
      <c r="AP16">
        <v>12269.1596108698</v>
      </c>
      <c r="AQ16">
        <v>2898.2821562043259</v>
      </c>
      <c r="AR16">
        <v>1465.144062216372</v>
      </c>
      <c r="AS16">
        <v>1645.746845738109</v>
      </c>
      <c r="AT16">
        <v>500.22480079990157</v>
      </c>
      <c r="AU16">
        <v>4538.8511500759123</v>
      </c>
    </row>
    <row r="17" spans="1:47" x14ac:dyDescent="0.25">
      <c r="A17">
        <v>2039</v>
      </c>
      <c r="B17">
        <v>41275.318344772582</v>
      </c>
      <c r="C17">
        <v>11714.980251559869</v>
      </c>
      <c r="D17">
        <v>15856.741222804059</v>
      </c>
      <c r="E17">
        <v>4208.5085452967523</v>
      </c>
      <c r="F17">
        <v>25797.923846355679</v>
      </c>
      <c r="G17">
        <v>6394.8610265436027</v>
      </c>
      <c r="H17">
        <v>3158.417425919205</v>
      </c>
      <c r="I17">
        <v>1571.1121444492951</v>
      </c>
      <c r="J17">
        <v>1381.1631050933361</v>
      </c>
      <c r="K17">
        <v>19182.935643757832</v>
      </c>
      <c r="M17">
        <v>2039</v>
      </c>
      <c r="N17">
        <v>17679.602698561965</v>
      </c>
      <c r="O17">
        <v>1616.3559601257696</v>
      </c>
      <c r="P17">
        <v>1147.4888513063358</v>
      </c>
      <c r="Q17">
        <v>1013.8582816402612</v>
      </c>
      <c r="R17">
        <v>9552.0473903738148</v>
      </c>
      <c r="S17">
        <v>10143.021189627425</v>
      </c>
      <c r="T17">
        <v>5740.7296919369301</v>
      </c>
      <c r="U17">
        <v>53.278976268436224</v>
      </c>
      <c r="V17">
        <v>174.9958797305552</v>
      </c>
      <c r="W17">
        <v>1239.0208085546903</v>
      </c>
      <c r="Y17">
        <v>2039</v>
      </c>
      <c r="Z17">
        <v>37321.57230276434</v>
      </c>
      <c r="AA17">
        <v>7866.8179898431954</v>
      </c>
      <c r="AB17">
        <v>10618.87258219557</v>
      </c>
      <c r="AC17">
        <v>3079.7673535684266</v>
      </c>
      <c r="AD17">
        <v>11655.701630326306</v>
      </c>
      <c r="AE17">
        <v>2753.3680483941102</v>
      </c>
      <c r="AF17">
        <v>1391.8868591055532</v>
      </c>
      <c r="AG17">
        <v>1278.6954304424651</v>
      </c>
      <c r="AH17">
        <v>480.62012673610838</v>
      </c>
      <c r="AI17">
        <v>696.94920481201336</v>
      </c>
      <c r="AK17">
        <v>2039</v>
      </c>
      <c r="AL17">
        <v>39865.127818112684</v>
      </c>
      <c r="AM17">
        <v>8038.3379558734287</v>
      </c>
      <c r="AN17">
        <v>10810.77546281144</v>
      </c>
      <c r="AO17">
        <v>3311.1081640508019</v>
      </c>
      <c r="AP17">
        <v>12831.92609270633</v>
      </c>
      <c r="AQ17">
        <v>2945.6534900123188</v>
      </c>
      <c r="AR17">
        <v>1519.9793184200421</v>
      </c>
      <c r="AS17">
        <v>1654.3815218001139</v>
      </c>
      <c r="AT17">
        <v>505.73408425760027</v>
      </c>
      <c r="AU17">
        <v>4735.7175104024682</v>
      </c>
    </row>
    <row r="18" spans="1:47" x14ac:dyDescent="0.25">
      <c r="A18">
        <v>2040</v>
      </c>
      <c r="B18">
        <v>41113.794218469207</v>
      </c>
      <c r="C18">
        <v>11746.470005954599</v>
      </c>
      <c r="D18">
        <v>15806.01603607725</v>
      </c>
      <c r="E18">
        <v>4256.204633793267</v>
      </c>
      <c r="F18">
        <v>26628.598400755451</v>
      </c>
      <c r="G18">
        <v>6465.9418567858456</v>
      </c>
      <c r="H18">
        <v>3220.8485915031888</v>
      </c>
      <c r="I18">
        <v>1566.5819250280981</v>
      </c>
      <c r="J18">
        <v>1389.4333414437331</v>
      </c>
      <c r="K18">
        <v>19985.07916968497</v>
      </c>
      <c r="M18">
        <v>2040</v>
      </c>
      <c r="N18">
        <v>16941.125479277907</v>
      </c>
      <c r="O18">
        <v>1544.133796877325</v>
      </c>
      <c r="P18">
        <v>1029.711457864471</v>
      </c>
      <c r="Q18">
        <v>991.64253425133563</v>
      </c>
      <c r="R18">
        <v>9715.907380359833</v>
      </c>
      <c r="S18">
        <v>10228.778720678574</v>
      </c>
      <c r="T18">
        <v>5818.7436766602568</v>
      </c>
      <c r="U18">
        <v>53.843082266089503</v>
      </c>
      <c r="V18">
        <v>175.34787869452015</v>
      </c>
      <c r="W18">
        <v>1288.912431370818</v>
      </c>
      <c r="Y18">
        <v>2040</v>
      </c>
      <c r="Z18">
        <v>37871.87142720705</v>
      </c>
      <c r="AA18">
        <v>7957.9545763146934</v>
      </c>
      <c r="AB18">
        <v>10702.667708183324</v>
      </c>
      <c r="AC18">
        <v>3145.5527558482627</v>
      </c>
      <c r="AD18">
        <v>12190.329788071014</v>
      </c>
      <c r="AE18">
        <v>2798.3708155117033</v>
      </c>
      <c r="AF18">
        <v>1443.9803524990398</v>
      </c>
      <c r="AG18">
        <v>1292.2339743861444</v>
      </c>
      <c r="AH18">
        <v>481.58687970727686</v>
      </c>
      <c r="AI18">
        <v>725.01324264608525</v>
      </c>
      <c r="AK18">
        <v>2040</v>
      </c>
      <c r="AL18">
        <v>40328.102350098561</v>
      </c>
      <c r="AM18">
        <v>8127.7480670777113</v>
      </c>
      <c r="AN18">
        <v>10878.058186145619</v>
      </c>
      <c r="AO18">
        <v>3380.3365054764831</v>
      </c>
      <c r="AP18">
        <v>13405.440685505269</v>
      </c>
      <c r="AQ18">
        <v>2994.273144233583</v>
      </c>
      <c r="AR18">
        <v>1575.3947325322849</v>
      </c>
      <c r="AS18">
        <v>1667.097596369782</v>
      </c>
      <c r="AT18">
        <v>510.7656998155004</v>
      </c>
      <c r="AU18">
        <v>4949.9830062979563</v>
      </c>
    </row>
    <row r="19" spans="1:47" x14ac:dyDescent="0.25">
      <c r="A19">
        <v>2041</v>
      </c>
      <c r="B19">
        <v>40909.636497745807</v>
      </c>
      <c r="C19">
        <v>11784.29439208065</v>
      </c>
      <c r="D19">
        <v>15751.417717373881</v>
      </c>
      <c r="E19">
        <v>4301.1410694874503</v>
      </c>
      <c r="F19">
        <v>27444.972571087539</v>
      </c>
      <c r="G19">
        <v>6542.4660038769598</v>
      </c>
      <c r="H19">
        <v>3282.651076090156</v>
      </c>
      <c r="I19">
        <v>1562.2885405386639</v>
      </c>
      <c r="J19">
        <v>1399.4488602703971</v>
      </c>
      <c r="K19">
        <v>20812.222044603939</v>
      </c>
      <c r="M19">
        <v>2041</v>
      </c>
      <c r="N19">
        <v>16253.857517610653</v>
      </c>
      <c r="O19">
        <v>1479.9005207827788</v>
      </c>
      <c r="P19">
        <v>923.62330986670872</v>
      </c>
      <c r="Q19">
        <v>966.71298449044298</v>
      </c>
      <c r="R19">
        <v>9859.3177114823648</v>
      </c>
      <c r="S19">
        <v>10325.665645733039</v>
      </c>
      <c r="T19">
        <v>5897.7996056814145</v>
      </c>
      <c r="U19">
        <v>54.703479339374262</v>
      </c>
      <c r="V19">
        <v>175.60096371225916</v>
      </c>
      <c r="W19">
        <v>1339.2384560106432</v>
      </c>
      <c r="Y19">
        <v>2041</v>
      </c>
      <c r="Z19">
        <v>38311.697232593622</v>
      </c>
      <c r="AA19">
        <v>8046.4705864069338</v>
      </c>
      <c r="AB19">
        <v>10769.277604284161</v>
      </c>
      <c r="AC19">
        <v>3211.3196802026587</v>
      </c>
      <c r="AD19">
        <v>12735.168651230004</v>
      </c>
      <c r="AE19">
        <v>2844.5594870219034</v>
      </c>
      <c r="AF19">
        <v>1496.6249959056706</v>
      </c>
      <c r="AG19">
        <v>1312.8835041449786</v>
      </c>
      <c r="AH19">
        <v>482.28196894873804</v>
      </c>
      <c r="AI19">
        <v>753.32163150598683</v>
      </c>
      <c r="AK19">
        <v>2041</v>
      </c>
      <c r="AL19">
        <v>40668.137916132917</v>
      </c>
      <c r="AM19">
        <v>8215.9626492701482</v>
      </c>
      <c r="AN19">
        <v>10929.250346327861</v>
      </c>
      <c r="AO19">
        <v>3449.925390589849</v>
      </c>
      <c r="AP19">
        <v>13991.617626327699</v>
      </c>
      <c r="AQ19">
        <v>3044.472823253886</v>
      </c>
      <c r="AR19">
        <v>1630.231072445783</v>
      </c>
      <c r="AS19">
        <v>1682.5008739965649</v>
      </c>
      <c r="AT19">
        <v>515.54506518311757</v>
      </c>
      <c r="AU19">
        <v>5185.9504227679126</v>
      </c>
    </row>
    <row r="20" spans="1:47" x14ac:dyDescent="0.25">
      <c r="A20">
        <v>2042</v>
      </c>
      <c r="B20">
        <v>40643.151044271959</v>
      </c>
      <c r="C20">
        <v>11828.007701603379</v>
      </c>
      <c r="D20">
        <v>15672.81118062211</v>
      </c>
      <c r="E20">
        <v>4344.0042474819129</v>
      </c>
      <c r="F20">
        <v>28243.569196193919</v>
      </c>
      <c r="G20">
        <v>6619.0922070461174</v>
      </c>
      <c r="H20">
        <v>3340.7565589349019</v>
      </c>
      <c r="I20">
        <v>1561.6892867666979</v>
      </c>
      <c r="J20">
        <v>1409.3423521596651</v>
      </c>
      <c r="K20">
        <v>21670.86410362785</v>
      </c>
      <c r="M20">
        <v>2042</v>
      </c>
      <c r="N20">
        <v>15599.862573720597</v>
      </c>
      <c r="O20">
        <v>1421.9059669328149</v>
      </c>
      <c r="P20">
        <v>812.40150004292968</v>
      </c>
      <c r="Q20">
        <v>939.39205559446793</v>
      </c>
      <c r="R20">
        <v>9978.4334976174305</v>
      </c>
      <c r="S20">
        <v>10423.077658649618</v>
      </c>
      <c r="T20">
        <v>5972.8822050252229</v>
      </c>
      <c r="U20">
        <v>55.863310425690585</v>
      </c>
      <c r="V20">
        <v>175.6701645837353</v>
      </c>
      <c r="W20">
        <v>1390.4324056607061</v>
      </c>
      <c r="Y20">
        <v>2042</v>
      </c>
      <c r="Z20">
        <v>38634.731020326268</v>
      </c>
      <c r="AA20">
        <v>8133.8030227774461</v>
      </c>
      <c r="AB20">
        <v>10819.95784286458</v>
      </c>
      <c r="AC20">
        <v>3277.429121060356</v>
      </c>
      <c r="AD20">
        <v>13292.03674501131</v>
      </c>
      <c r="AE20">
        <v>2892.2491820911905</v>
      </c>
      <c r="AF20">
        <v>1548.7195188234934</v>
      </c>
      <c r="AG20">
        <v>1340.7194502165698</v>
      </c>
      <c r="AH20">
        <v>482.47202674707199</v>
      </c>
      <c r="AI20">
        <v>782.11822818414714</v>
      </c>
      <c r="AK20">
        <v>2042</v>
      </c>
      <c r="AL20">
        <v>40882.804724164002</v>
      </c>
      <c r="AM20">
        <v>8302.4925920166424</v>
      </c>
      <c r="AN20">
        <v>10964.289600178019</v>
      </c>
      <c r="AO20">
        <v>3520.099909600387</v>
      </c>
      <c r="AP20">
        <v>14590.03228606931</v>
      </c>
      <c r="AQ20">
        <v>3095.730878787429</v>
      </c>
      <c r="AR20">
        <v>1683.363773524218</v>
      </c>
      <c r="AS20">
        <v>1700.1909263005559</v>
      </c>
      <c r="AT20">
        <v>519.92569647286018</v>
      </c>
      <c r="AU20">
        <v>5446.1700108725199</v>
      </c>
    </row>
    <row r="21" spans="1:47" x14ac:dyDescent="0.25">
      <c r="A21">
        <v>2043</v>
      </c>
      <c r="B21">
        <v>40323.55051668427</v>
      </c>
      <c r="C21">
        <v>11858.740871280859</v>
      </c>
      <c r="D21">
        <v>15554.473488060181</v>
      </c>
      <c r="E21">
        <v>4386.443291676942</v>
      </c>
      <c r="F21">
        <v>29016.27915717239</v>
      </c>
      <c r="G21">
        <v>6695.3016623457506</v>
      </c>
      <c r="H21">
        <v>3394.8532699033249</v>
      </c>
      <c r="I21">
        <v>1563.6853835855329</v>
      </c>
      <c r="J21">
        <v>1420.179092462912</v>
      </c>
      <c r="K21">
        <v>22569.260045041079</v>
      </c>
      <c r="M21">
        <v>2043</v>
      </c>
      <c r="N21">
        <v>14994.461800109877</v>
      </c>
      <c r="O21">
        <v>1355.3732304217751</v>
      </c>
      <c r="P21">
        <v>684.20541239094041</v>
      </c>
      <c r="Q21">
        <v>911.08911275324579</v>
      </c>
      <c r="R21">
        <v>10067.704947980246</v>
      </c>
      <c r="S21">
        <v>10520.610418690132</v>
      </c>
      <c r="T21">
        <v>6044.5614906457531</v>
      </c>
      <c r="U21">
        <v>57.186454937497039</v>
      </c>
      <c r="V21">
        <v>175.7539184964767</v>
      </c>
      <c r="W21">
        <v>1443.111713331042</v>
      </c>
      <c r="Y21">
        <v>2043</v>
      </c>
      <c r="Z21">
        <v>38838.664487955801</v>
      </c>
      <c r="AA21">
        <v>8219.467666096476</v>
      </c>
      <c r="AB21">
        <v>10854.646704176244</v>
      </c>
      <c r="AC21">
        <v>3344.0949141203673</v>
      </c>
      <c r="AD21">
        <v>13860.530671765846</v>
      </c>
      <c r="AE21">
        <v>2940.9443348480572</v>
      </c>
      <c r="AF21">
        <v>1599.195584848007</v>
      </c>
      <c r="AG21">
        <v>1372.4749184999246</v>
      </c>
      <c r="AH21">
        <v>482.70205396953259</v>
      </c>
      <c r="AI21">
        <v>811.7503387487111</v>
      </c>
      <c r="AK21">
        <v>2043</v>
      </c>
      <c r="AL21">
        <v>40980.447721346602</v>
      </c>
      <c r="AM21">
        <v>8383.7267386790591</v>
      </c>
      <c r="AN21">
        <v>10983.27742464851</v>
      </c>
      <c r="AO21">
        <v>3590.9244181452441</v>
      </c>
      <c r="AP21">
        <v>15198.36568456812</v>
      </c>
      <c r="AQ21">
        <v>3147.9188502215238</v>
      </c>
      <c r="AR21">
        <v>1734.314602688569</v>
      </c>
      <c r="AS21">
        <v>1718.655642969406</v>
      </c>
      <c r="AT21">
        <v>524.15572640788787</v>
      </c>
      <c r="AU21">
        <v>5731.1045962553226</v>
      </c>
    </row>
    <row r="22" spans="1:47" x14ac:dyDescent="0.25">
      <c r="A22">
        <v>2044</v>
      </c>
      <c r="B22">
        <v>39934.784893050673</v>
      </c>
      <c r="C22">
        <v>11873.184040770149</v>
      </c>
      <c r="D22">
        <v>15421.87084859354</v>
      </c>
      <c r="E22">
        <v>4427.7546480494057</v>
      </c>
      <c r="F22">
        <v>29765.228777785091</v>
      </c>
      <c r="G22">
        <v>6774.3370013558806</v>
      </c>
      <c r="H22">
        <v>3445.0263756776048</v>
      </c>
      <c r="I22">
        <v>1563.8312264869419</v>
      </c>
      <c r="J22">
        <v>1428.7518055056471</v>
      </c>
      <c r="K22">
        <v>23494.159037309801</v>
      </c>
      <c r="M22">
        <v>2044</v>
      </c>
      <c r="N22">
        <v>14408.498905991013</v>
      </c>
      <c r="O22">
        <v>1281.153900272207</v>
      </c>
      <c r="P22">
        <v>557.41291435038931</v>
      </c>
      <c r="Q22">
        <v>881.05463457201154</v>
      </c>
      <c r="R22">
        <v>10131.494999806504</v>
      </c>
      <c r="S22">
        <v>10624.820873550929</v>
      </c>
      <c r="T22">
        <v>6113.0922334780744</v>
      </c>
      <c r="U22">
        <v>58.441046519430763</v>
      </c>
      <c r="V22">
        <v>175.63588653459024</v>
      </c>
      <c r="W22">
        <v>1496.5670764493491</v>
      </c>
      <c r="Y22">
        <v>2044</v>
      </c>
      <c r="Z22">
        <v>38931.425335279266</v>
      </c>
      <c r="AA22">
        <v>8299.8894712922684</v>
      </c>
      <c r="AB22">
        <v>10873.444650402027</v>
      </c>
      <c r="AC22">
        <v>3411.378197237982</v>
      </c>
      <c r="AD22">
        <v>14438.447400339715</v>
      </c>
      <c r="AE22">
        <v>2990.5229077104455</v>
      </c>
      <c r="AF22">
        <v>1647.5988725541406</v>
      </c>
      <c r="AG22">
        <v>1402.5851164663343</v>
      </c>
      <c r="AH22">
        <v>482.37788327152435</v>
      </c>
      <c r="AI22">
        <v>841.81898050275902</v>
      </c>
      <c r="AK22">
        <v>2044</v>
      </c>
      <c r="AL22">
        <v>40972.58084800448</v>
      </c>
      <c r="AM22">
        <v>8458.4831018926616</v>
      </c>
      <c r="AN22">
        <v>10989.19989476672</v>
      </c>
      <c r="AO22">
        <v>3661.9901711975558</v>
      </c>
      <c r="AP22">
        <v>15815.39006997658</v>
      </c>
      <c r="AQ22">
        <v>3201.2694935675681</v>
      </c>
      <c r="AR22">
        <v>1782.8810031887811</v>
      </c>
      <c r="AS22">
        <v>1735.5403697389729</v>
      </c>
      <c r="AT22">
        <v>527.92503471104294</v>
      </c>
      <c r="AU22">
        <v>6037.8864119556511</v>
      </c>
    </row>
    <row r="23" spans="1:47" x14ac:dyDescent="0.25">
      <c r="A23">
        <v>2045</v>
      </c>
      <c r="B23">
        <v>39457.486243904423</v>
      </c>
      <c r="C23">
        <v>11891.77428386258</v>
      </c>
      <c r="D23">
        <v>15288.163640080569</v>
      </c>
      <c r="E23">
        <v>4468.2213451161833</v>
      </c>
      <c r="F23">
        <v>30488.870030714548</v>
      </c>
      <c r="G23">
        <v>6856.3522600889582</v>
      </c>
      <c r="H23">
        <v>3490.5664812085001</v>
      </c>
      <c r="I23">
        <v>1562.144098624068</v>
      </c>
      <c r="J23">
        <v>1435.1882386229161</v>
      </c>
      <c r="K23">
        <v>24429.629559447651</v>
      </c>
      <c r="M23">
        <v>2045</v>
      </c>
      <c r="N23">
        <v>13805.019996451903</v>
      </c>
      <c r="O23">
        <v>1216.9391780573724</v>
      </c>
      <c r="P23">
        <v>439.17688861916599</v>
      </c>
      <c r="Q23">
        <v>849.95314505665112</v>
      </c>
      <c r="R23">
        <v>10169.823763680783</v>
      </c>
      <c r="S23">
        <v>10735.407658722617</v>
      </c>
      <c r="T23">
        <v>6176.1838695215911</v>
      </c>
      <c r="U23">
        <v>59.52837494618386</v>
      </c>
      <c r="V23">
        <v>175.3771173778924</v>
      </c>
      <c r="W23">
        <v>1549.9323399528794</v>
      </c>
      <c r="Y23">
        <v>2045</v>
      </c>
      <c r="Z23">
        <v>38923.951805604258</v>
      </c>
      <c r="AA23">
        <v>8373.8982708737349</v>
      </c>
      <c r="AB23">
        <v>10879.307895819053</v>
      </c>
      <c r="AC23">
        <v>3478.8906626376788</v>
      </c>
      <c r="AD23">
        <v>15024.620566477748</v>
      </c>
      <c r="AE23">
        <v>3041.2060188891901</v>
      </c>
      <c r="AF23">
        <v>1693.7369530293417</v>
      </c>
      <c r="AG23">
        <v>1428.6809987084082</v>
      </c>
      <c r="AH23">
        <v>481.66718273915166</v>
      </c>
      <c r="AI23">
        <v>871.83694122349482</v>
      </c>
      <c r="AK23">
        <v>2045</v>
      </c>
      <c r="AL23">
        <v>40874.158265412407</v>
      </c>
      <c r="AM23">
        <v>8529.79692395233</v>
      </c>
      <c r="AN23">
        <v>10985.21532677444</v>
      </c>
      <c r="AO23">
        <v>3732.8458300192369</v>
      </c>
      <c r="AP23">
        <v>16438.7615792547</v>
      </c>
      <c r="AQ23">
        <v>3255.568902901568</v>
      </c>
      <c r="AR23">
        <v>1828.903421016287</v>
      </c>
      <c r="AS23">
        <v>1749.623951010605</v>
      </c>
      <c r="AT23">
        <v>531.28177168242291</v>
      </c>
      <c r="AU23">
        <v>6362.2344476877424</v>
      </c>
    </row>
    <row r="24" spans="1:47" x14ac:dyDescent="0.25">
      <c r="A24">
        <v>2046</v>
      </c>
      <c r="B24">
        <v>38908.648447409229</v>
      </c>
      <c r="C24">
        <v>11900.22472508847</v>
      </c>
      <c r="D24">
        <v>15154.16668588981</v>
      </c>
      <c r="E24">
        <v>4507.276871526632</v>
      </c>
      <c r="F24">
        <v>31179.12067403231</v>
      </c>
      <c r="G24">
        <v>6940.7798947452493</v>
      </c>
      <c r="H24">
        <v>3532.2947955870959</v>
      </c>
      <c r="I24">
        <v>1559.553570908005</v>
      </c>
      <c r="J24">
        <v>1441.8067430212891</v>
      </c>
      <c r="K24">
        <v>25372.924179727619</v>
      </c>
      <c r="M24">
        <v>2046</v>
      </c>
      <c r="N24">
        <v>13191.843327189814</v>
      </c>
      <c r="O24">
        <v>1148.1569549180033</v>
      </c>
      <c r="P24">
        <v>327.96090188730602</v>
      </c>
      <c r="Q24">
        <v>817.65846506477499</v>
      </c>
      <c r="R24">
        <v>10178.128909349405</v>
      </c>
      <c r="S24">
        <v>10850.928659479499</v>
      </c>
      <c r="T24">
        <v>6234.7450010655866</v>
      </c>
      <c r="U24">
        <v>60.3897805522464</v>
      </c>
      <c r="V24">
        <v>175.22118089382963</v>
      </c>
      <c r="W24">
        <v>1603.1821951633206</v>
      </c>
      <c r="Y24">
        <v>2046</v>
      </c>
      <c r="Z24">
        <v>38830.450352141779</v>
      </c>
      <c r="AA24">
        <v>8444.4989547128062</v>
      </c>
      <c r="AB24">
        <v>10875.363173506699</v>
      </c>
      <c r="AC24">
        <v>3546.2035385182749</v>
      </c>
      <c r="AD24">
        <v>15616.823500291968</v>
      </c>
      <c r="AE24">
        <v>3092.7904577564891</v>
      </c>
      <c r="AF24">
        <v>1737.4582499654725</v>
      </c>
      <c r="AG24">
        <v>1449.3547332539092</v>
      </c>
      <c r="AH24">
        <v>481.23890858293487</v>
      </c>
      <c r="AI24">
        <v>901.78998477936739</v>
      </c>
      <c r="AK24">
        <v>2046</v>
      </c>
      <c r="AL24">
        <v>40706.16049783284</v>
      </c>
      <c r="AM24">
        <v>8595.1648354280533</v>
      </c>
      <c r="AN24">
        <v>10974.141149201811</v>
      </c>
      <c r="AO24">
        <v>3802.920344785854</v>
      </c>
      <c r="AP24">
        <v>17064.653056202329</v>
      </c>
      <c r="AQ24">
        <v>3310.542190173182</v>
      </c>
      <c r="AR24">
        <v>1872.5756785770941</v>
      </c>
      <c r="AS24">
        <v>1760.1283671237729</v>
      </c>
      <c r="AT24">
        <v>534.51925216917607</v>
      </c>
      <c r="AU24">
        <v>6700.4429753337918</v>
      </c>
    </row>
    <row r="25" spans="1:47" x14ac:dyDescent="0.25">
      <c r="A25">
        <v>2047</v>
      </c>
      <c r="B25">
        <v>38338.744923123741</v>
      </c>
      <c r="C25">
        <v>11908.41130639292</v>
      </c>
      <c r="D25">
        <v>15011.86907063067</v>
      </c>
      <c r="E25">
        <v>4545.3094800253602</v>
      </c>
      <c r="F25">
        <v>31828.148188679839</v>
      </c>
      <c r="G25">
        <v>7022.7883861108348</v>
      </c>
      <c r="H25">
        <v>3571.1909435391231</v>
      </c>
      <c r="I25">
        <v>1556.7855854415161</v>
      </c>
      <c r="J25">
        <v>1447.612845473931</v>
      </c>
      <c r="K25">
        <v>26312.977455738492</v>
      </c>
      <c r="M25">
        <v>2047</v>
      </c>
      <c r="N25">
        <v>12615.459523077825</v>
      </c>
      <c r="O25">
        <v>1085.2597665437922</v>
      </c>
      <c r="P25">
        <v>216.41858510361311</v>
      </c>
      <c r="Q25">
        <v>785.09630794563589</v>
      </c>
      <c r="R25">
        <v>10153.221123112755</v>
      </c>
      <c r="S25">
        <v>10961.297228970066</v>
      </c>
      <c r="T25">
        <v>6289.6682873549844</v>
      </c>
      <c r="U25">
        <v>60.982216729481479</v>
      </c>
      <c r="V25">
        <v>175.07821367192429</v>
      </c>
      <c r="W25">
        <v>1655.7616025956909</v>
      </c>
      <c r="Y25">
        <v>2047</v>
      </c>
      <c r="Z25">
        <v>38670.852472941195</v>
      </c>
      <c r="AA25">
        <v>8509.2131870737721</v>
      </c>
      <c r="AB25">
        <v>10864.399737709789</v>
      </c>
      <c r="AC25">
        <v>3612.7743275465614</v>
      </c>
      <c r="AD25">
        <v>16211.420403392214</v>
      </c>
      <c r="AE25">
        <v>3145.0150806645242</v>
      </c>
      <c r="AF25">
        <v>1778.9468946482391</v>
      </c>
      <c r="AG25">
        <v>1463.5732015075514</v>
      </c>
      <c r="AH25">
        <v>480.84625405634239</v>
      </c>
      <c r="AI25">
        <v>931.36590146007643</v>
      </c>
      <c r="AK25">
        <v>2047</v>
      </c>
      <c r="AL25">
        <v>40493.368398750572</v>
      </c>
      <c r="AM25">
        <v>8656.0632056586219</v>
      </c>
      <c r="AN25">
        <v>10958.151784678919</v>
      </c>
      <c r="AO25">
        <v>3871.809376225322</v>
      </c>
      <c r="AP25">
        <v>17689.18287301793</v>
      </c>
      <c r="AQ25">
        <v>3365.417138621945</v>
      </c>
      <c r="AR25">
        <v>1914.1892849136129</v>
      </c>
      <c r="AS25">
        <v>1766.5275206194481</v>
      </c>
      <c r="AT25">
        <v>537.48087778361833</v>
      </c>
      <c r="AU25">
        <v>7048.5298708808796</v>
      </c>
    </row>
    <row r="26" spans="1:47" x14ac:dyDescent="0.25">
      <c r="A26">
        <v>2048</v>
      </c>
      <c r="B26">
        <v>37747.720977018958</v>
      </c>
      <c r="C26">
        <v>11917.2010521131</v>
      </c>
      <c r="D26">
        <v>14860.80159516958</v>
      </c>
      <c r="E26">
        <v>4580.0127466228241</v>
      </c>
      <c r="F26">
        <v>32439.679193266718</v>
      </c>
      <c r="G26">
        <v>7100.3756460975728</v>
      </c>
      <c r="H26">
        <v>3606.9520434144829</v>
      </c>
      <c r="I26">
        <v>1552.339114121831</v>
      </c>
      <c r="J26">
        <v>1451.593576563936</v>
      </c>
      <c r="K26">
        <v>27243.797701184139</v>
      </c>
      <c r="M26">
        <v>2048</v>
      </c>
      <c r="N26">
        <v>12052.216516003704</v>
      </c>
      <c r="O26">
        <v>1027.4925594518213</v>
      </c>
      <c r="P26">
        <v>103.35220034236781</v>
      </c>
      <c r="Q26">
        <v>750.39316977605552</v>
      </c>
      <c r="R26">
        <v>10101.289311104445</v>
      </c>
      <c r="S26">
        <v>11062.756149432658</v>
      </c>
      <c r="T26">
        <v>6338.9408846308834</v>
      </c>
      <c r="U26">
        <v>61.226718848839383</v>
      </c>
      <c r="V26">
        <v>174.82990012985866</v>
      </c>
      <c r="W26">
        <v>1707.4247763679759</v>
      </c>
      <c r="Y26">
        <v>2048</v>
      </c>
      <c r="Z26">
        <v>38468.699978813049</v>
      </c>
      <c r="AA26">
        <v>8569.5025736020361</v>
      </c>
      <c r="AB26">
        <v>10848.570266832128</v>
      </c>
      <c r="AC26">
        <v>3678.2189074140556</v>
      </c>
      <c r="AD26">
        <v>16804.72372936703</v>
      </c>
      <c r="AE26">
        <v>3197.1462816908474</v>
      </c>
      <c r="AF26">
        <v>1818.479820667932</v>
      </c>
      <c r="AG26">
        <v>1469.441252372141</v>
      </c>
      <c r="AH26">
        <v>480.16426950766845</v>
      </c>
      <c r="AI26">
        <v>960.42643670698646</v>
      </c>
      <c r="AK26">
        <v>2048</v>
      </c>
      <c r="AL26">
        <v>40251.657126663529</v>
      </c>
      <c r="AM26">
        <v>8712.6565306736447</v>
      </c>
      <c r="AN26">
        <v>10939.47611907986</v>
      </c>
      <c r="AO26">
        <v>3938.9221780606281</v>
      </c>
      <c r="AP26">
        <v>18310.832086933729</v>
      </c>
      <c r="AQ26">
        <v>3419.8883306970379</v>
      </c>
      <c r="AR26">
        <v>1953.858271744697</v>
      </c>
      <c r="AS26">
        <v>1768.071644638866</v>
      </c>
      <c r="AT26">
        <v>539.96152234241822</v>
      </c>
      <c r="AU26">
        <v>7403.5487787357233</v>
      </c>
    </row>
    <row r="27" spans="1:47" x14ac:dyDescent="0.25">
      <c r="A27">
        <v>2049</v>
      </c>
      <c r="B27">
        <v>37130.839735034177</v>
      </c>
      <c r="C27">
        <v>11915.006661487079</v>
      </c>
      <c r="D27">
        <v>14709.216931575311</v>
      </c>
      <c r="E27">
        <v>4610.1346463812606</v>
      </c>
      <c r="F27">
        <v>33019.746647484542</v>
      </c>
      <c r="G27">
        <v>7175.3450473116327</v>
      </c>
      <c r="H27">
        <v>3638.5978296718781</v>
      </c>
      <c r="I27">
        <v>1544.503664724042</v>
      </c>
      <c r="J27">
        <v>1452.4487339947609</v>
      </c>
      <c r="K27">
        <v>28164.2634976749</v>
      </c>
      <c r="M27">
        <v>2049</v>
      </c>
      <c r="N27">
        <v>11481.187214736896</v>
      </c>
      <c r="O27">
        <v>965.30106577354513</v>
      </c>
      <c r="P27">
        <v>102.14306809077796</v>
      </c>
      <c r="Q27">
        <v>712.87708435605362</v>
      </c>
      <c r="R27">
        <v>10028.122004274406</v>
      </c>
      <c r="S27">
        <v>11159.024380149691</v>
      </c>
      <c r="T27">
        <v>6379.3972381802787</v>
      </c>
      <c r="U27">
        <v>61.068038966972864</v>
      </c>
      <c r="V27">
        <v>174.3128685931479</v>
      </c>
      <c r="W27">
        <v>1758.2167473171451</v>
      </c>
      <c r="Y27">
        <v>2049</v>
      </c>
      <c r="Z27">
        <v>38239.074270330348</v>
      </c>
      <c r="AA27">
        <v>8625.5299653669081</v>
      </c>
      <c r="AB27">
        <v>10721.651283493482</v>
      </c>
      <c r="AC27">
        <v>3741.9760691575966</v>
      </c>
      <c r="AD27">
        <v>17395.290482587039</v>
      </c>
      <c r="AE27">
        <v>3248.8939141621859</v>
      </c>
      <c r="AF27">
        <v>1856.1653581574624</v>
      </c>
      <c r="AG27">
        <v>1465.6329352073444</v>
      </c>
      <c r="AH27">
        <v>478.74426028754772</v>
      </c>
      <c r="AI27">
        <v>988.99692036589408</v>
      </c>
      <c r="AK27">
        <v>2049</v>
      </c>
      <c r="AL27">
        <v>39991.915260347108</v>
      </c>
      <c r="AM27">
        <v>8762.9822821755533</v>
      </c>
      <c r="AN27">
        <v>10920.478076737571</v>
      </c>
      <c r="AO27">
        <v>4003.861980983711</v>
      </c>
      <c r="AP27">
        <v>18928.998492201688</v>
      </c>
      <c r="AQ27">
        <v>3474.2853255214359</v>
      </c>
      <c r="AR27">
        <v>1991.5700031914989</v>
      </c>
      <c r="AS27">
        <v>1764.2514762251931</v>
      </c>
      <c r="AT27">
        <v>541.6907892045615</v>
      </c>
      <c r="AU27">
        <v>7763.7963839380282</v>
      </c>
    </row>
    <row r="28" spans="1:47" x14ac:dyDescent="0.25">
      <c r="A28">
        <v>2050</v>
      </c>
      <c r="B28">
        <v>36525.695767777906</v>
      </c>
      <c r="C28">
        <v>11918.983304135139</v>
      </c>
      <c r="D28">
        <v>14568.388187149139</v>
      </c>
      <c r="E28">
        <v>4639.8437972143847</v>
      </c>
      <c r="F28">
        <v>33570.01126889688</v>
      </c>
      <c r="G28">
        <v>7254.9833807317118</v>
      </c>
      <c r="H28">
        <v>3667.5231334839618</v>
      </c>
      <c r="I28">
        <v>1533.4625222516479</v>
      </c>
      <c r="J28">
        <v>1451.8313090931069</v>
      </c>
      <c r="K28">
        <v>29054.198622974789</v>
      </c>
      <c r="M28">
        <v>2050</v>
      </c>
      <c r="N28">
        <v>10942.451181247576</v>
      </c>
      <c r="O28">
        <v>914.51200039837363</v>
      </c>
      <c r="P28">
        <v>101.02717812714862</v>
      </c>
      <c r="Q28">
        <v>677.00491802839508</v>
      </c>
      <c r="R28">
        <v>9935.0724130306244</v>
      </c>
      <c r="S28">
        <v>11264.601533456122</v>
      </c>
      <c r="T28">
        <v>6413.7383416091934</v>
      </c>
      <c r="U28">
        <v>60.532415933150737</v>
      </c>
      <c r="V28">
        <v>173.64091031377686</v>
      </c>
      <c r="W28">
        <v>1806.9561454616241</v>
      </c>
      <c r="Y28">
        <v>2050</v>
      </c>
      <c r="Z28">
        <v>37992.319497329758</v>
      </c>
      <c r="AA28">
        <v>8675.3524593537968</v>
      </c>
      <c r="AB28">
        <v>10604.519663263009</v>
      </c>
      <c r="AC28">
        <v>3803.6688819345254</v>
      </c>
      <c r="AD28">
        <v>17982.548567591599</v>
      </c>
      <c r="AE28">
        <v>3300.5710592453629</v>
      </c>
      <c r="AF28">
        <v>1891.9915030319237</v>
      </c>
      <c r="AG28">
        <v>1452.7779823956132</v>
      </c>
      <c r="AH28">
        <v>476.89875013102306</v>
      </c>
      <c r="AI28">
        <v>1016.4128318221642</v>
      </c>
      <c r="AK28">
        <v>2050</v>
      </c>
      <c r="AL28">
        <v>39726.060856006923</v>
      </c>
      <c r="AM28">
        <v>8809.9040192196298</v>
      </c>
      <c r="AN28">
        <v>10903.30286078993</v>
      </c>
      <c r="AO28">
        <v>4066.9727184522071</v>
      </c>
      <c r="AP28">
        <v>19542.740746509058</v>
      </c>
      <c r="AQ28">
        <v>3529.8168984370118</v>
      </c>
      <c r="AR28">
        <v>2027.6549843160119</v>
      </c>
      <c r="AS28">
        <v>1755.307362896752</v>
      </c>
      <c r="AT28">
        <v>542.78149691959447</v>
      </c>
      <c r="AU28">
        <v>8126.9395322469672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56376-06A0-42E5-ADBD-08A2C76D85B4}">
  <dimension ref="A1:AW28"/>
  <sheetViews>
    <sheetView workbookViewId="0">
      <selection activeCell="N29" sqref="N29:AX29"/>
    </sheetView>
  </sheetViews>
  <sheetFormatPr defaultRowHeight="15" x14ac:dyDescent="0.25"/>
  <cols>
    <col min="3" max="3" width="14" customWidth="1"/>
    <col min="5" max="5" width="13.140625" customWidth="1"/>
    <col min="6" max="6" width="10" customWidth="1"/>
    <col min="7" max="7" width="13.5703125" customWidth="1"/>
    <col min="8" max="8" width="10" customWidth="1"/>
    <col min="9" max="9" width="18.140625" customWidth="1"/>
    <col min="10" max="10" width="11.85546875" customWidth="1"/>
    <col min="11" max="11" width="7" customWidth="1"/>
    <col min="12" max="12" width="8" customWidth="1"/>
    <col min="13" max="13" width="13.85546875" customWidth="1"/>
    <col min="15" max="15" width="18.5703125" customWidth="1"/>
    <col min="17" max="17" width="12.7109375" customWidth="1"/>
    <col min="19" max="19" width="13.140625" customWidth="1"/>
    <col min="20" max="20" width="10.7109375" customWidth="1"/>
    <col min="21" max="21" width="18.7109375" customWidth="1"/>
    <col min="22" max="22" width="13" customWidth="1"/>
    <col min="25" max="25" width="12.7109375" customWidth="1"/>
    <col min="27" max="27" width="19.42578125" customWidth="1"/>
    <col min="29" max="29" width="14.28515625" customWidth="1"/>
    <col min="31" max="31" width="13" customWidth="1"/>
    <col min="32" max="32" width="11" customWidth="1"/>
    <col min="33" max="33" width="19.42578125" customWidth="1"/>
    <col min="34" max="34" width="11.140625" customWidth="1"/>
    <col min="37" max="37" width="13" customWidth="1"/>
    <col min="39" max="39" width="10.42578125" customWidth="1"/>
    <col min="41" max="41" width="13.42578125" customWidth="1"/>
    <col min="43" max="43" width="14.42578125" customWidth="1"/>
    <col min="44" max="44" width="10.28515625" customWidth="1"/>
    <col min="45" max="45" width="14.140625" customWidth="1"/>
    <col min="46" max="46" width="11.5703125" customWidth="1"/>
    <col min="49" max="49" width="13.85546875" customWidth="1"/>
  </cols>
  <sheetData>
    <row r="1" spans="1:49" x14ac:dyDescent="0.25">
      <c r="C1" s="1" t="s">
        <v>10</v>
      </c>
      <c r="D1" t="s">
        <v>0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</v>
      </c>
      <c r="L1" t="s">
        <v>8</v>
      </c>
      <c r="M1" t="s">
        <v>9</v>
      </c>
      <c r="O1" s="1" t="s">
        <v>11</v>
      </c>
      <c r="P1" t="s">
        <v>0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1</v>
      </c>
      <c r="X1" t="s">
        <v>8</v>
      </c>
      <c r="Y1" t="s">
        <v>9</v>
      </c>
      <c r="AA1" s="1" t="s">
        <v>12</v>
      </c>
      <c r="AB1" t="s">
        <v>0</v>
      </c>
      <c r="AC1" t="s">
        <v>2</v>
      </c>
      <c r="AD1" t="s">
        <v>3</v>
      </c>
      <c r="AE1" t="s">
        <v>4</v>
      </c>
      <c r="AF1" t="s">
        <v>5</v>
      </c>
      <c r="AG1" t="s">
        <v>6</v>
      </c>
      <c r="AH1" t="s">
        <v>7</v>
      </c>
      <c r="AI1" t="s">
        <v>1</v>
      </c>
      <c r="AJ1" t="s">
        <v>8</v>
      </c>
      <c r="AK1" t="s">
        <v>9</v>
      </c>
      <c r="AM1" s="1" t="s">
        <v>13</v>
      </c>
      <c r="AN1" t="s">
        <v>0</v>
      </c>
      <c r="AO1" t="s">
        <v>2</v>
      </c>
      <c r="AP1" t="s">
        <v>3</v>
      </c>
      <c r="AQ1" t="s">
        <v>4</v>
      </c>
      <c r="AR1" t="s">
        <v>5</v>
      </c>
      <c r="AS1" t="s">
        <v>6</v>
      </c>
      <c r="AT1" t="s">
        <v>7</v>
      </c>
      <c r="AU1" t="s">
        <v>1</v>
      </c>
      <c r="AV1" t="s">
        <v>8</v>
      </c>
      <c r="AW1" t="s">
        <v>9</v>
      </c>
    </row>
    <row r="2" spans="1:49" x14ac:dyDescent="0.25">
      <c r="A2" s="2" t="s">
        <v>14</v>
      </c>
      <c r="C2">
        <v>2024</v>
      </c>
      <c r="D2">
        <v>52063.346219843479</v>
      </c>
      <c r="E2">
        <v>12091.97664009119</v>
      </c>
      <c r="F2">
        <v>19675.334033557621</v>
      </c>
      <c r="G2">
        <v>3206.1493416748058</v>
      </c>
      <c r="H2">
        <v>12335.054035392899</v>
      </c>
      <c r="I2">
        <v>4675.8185423877494</v>
      </c>
      <c r="J2">
        <v>2377.6877615141061</v>
      </c>
      <c r="K2">
        <v>2168.6251158609712</v>
      </c>
      <c r="L2">
        <v>1277.6313758039</v>
      </c>
      <c r="M2">
        <v>7513.8260001502395</v>
      </c>
      <c r="O2">
        <v>2024</v>
      </c>
      <c r="P2">
        <v>47590.729010287694</v>
      </c>
      <c r="Q2">
        <v>3022.5071228175175</v>
      </c>
      <c r="R2">
        <v>4341.2140961793166</v>
      </c>
      <c r="S2">
        <v>1146.2752663283266</v>
      </c>
      <c r="T2">
        <v>5338.3826075459929</v>
      </c>
      <c r="U2">
        <v>7522.9687984459133</v>
      </c>
      <c r="V2">
        <v>4631.2701539432546</v>
      </c>
      <c r="W2">
        <v>83.016619930723976</v>
      </c>
      <c r="X2">
        <v>130.30303831261577</v>
      </c>
      <c r="Y2">
        <v>416.50110350583964</v>
      </c>
      <c r="AA2">
        <v>2024</v>
      </c>
      <c r="AB2">
        <v>20899.863713578612</v>
      </c>
      <c r="AC2">
        <v>6903.0847179370821</v>
      </c>
      <c r="AD2">
        <v>10184.143045590978</v>
      </c>
      <c r="AE2">
        <v>1988.6997758589903</v>
      </c>
      <c r="AF2">
        <v>4748.8629558020266</v>
      </c>
      <c r="AG2">
        <v>1840.6123761563545</v>
      </c>
      <c r="AH2">
        <v>695.33408019355977</v>
      </c>
      <c r="AI2">
        <v>1992.3988783373688</v>
      </c>
      <c r="AJ2">
        <v>357.87278468690994</v>
      </c>
      <c r="AK2">
        <v>234.28187072203485</v>
      </c>
      <c r="AM2">
        <v>2024</v>
      </c>
      <c r="AN2">
        <v>21845.12687206483</v>
      </c>
      <c r="AO2">
        <v>7100.5751966041353</v>
      </c>
      <c r="AP2">
        <v>9422.4347935301903</v>
      </c>
      <c r="AQ2">
        <v>2166.848097714344</v>
      </c>
      <c r="AR2">
        <v>5407.1784385125193</v>
      </c>
      <c r="AS2">
        <v>2208.4750482825339</v>
      </c>
      <c r="AT2">
        <v>948.05162810818445</v>
      </c>
      <c r="AU2">
        <v>1917.3656216539091</v>
      </c>
      <c r="AV2">
        <v>365.77773389730311</v>
      </c>
      <c r="AW2">
        <v>1535.9096538483</v>
      </c>
    </row>
    <row r="3" spans="1:49" x14ac:dyDescent="0.25">
      <c r="C3">
        <v>2025</v>
      </c>
      <c r="D3">
        <v>48201.403313576819</v>
      </c>
      <c r="E3">
        <v>11192.711205768301</v>
      </c>
      <c r="F3">
        <v>15259.78270153945</v>
      </c>
      <c r="G3">
        <v>3252.4939531501868</v>
      </c>
      <c r="H3">
        <v>13252.913902012089</v>
      </c>
      <c r="I3">
        <v>6481.0240951843598</v>
      </c>
      <c r="J3">
        <v>2975.9626714265241</v>
      </c>
      <c r="K3">
        <v>2065.232543484351</v>
      </c>
      <c r="L3">
        <v>1435.259332648558</v>
      </c>
      <c r="M3">
        <v>7574.5945135743814</v>
      </c>
      <c r="O3">
        <v>2025</v>
      </c>
      <c r="P3">
        <v>42927.46627828537</v>
      </c>
      <c r="Q3">
        <v>2150.6791587535618</v>
      </c>
      <c r="R3">
        <v>2069.729791637234</v>
      </c>
      <c r="S3">
        <v>1147.8865040040312</v>
      </c>
      <c r="T3">
        <v>5621.6877642128748</v>
      </c>
      <c r="U3">
        <v>11133.409607020827</v>
      </c>
      <c r="V3">
        <v>5750.8823045525733</v>
      </c>
      <c r="W3">
        <v>108.8749061744946</v>
      </c>
      <c r="X3">
        <v>159.84983849485502</v>
      </c>
      <c r="Y3">
        <v>576.20885381017797</v>
      </c>
      <c r="AA3">
        <v>2025</v>
      </c>
      <c r="AB3">
        <v>20752.87052846159</v>
      </c>
      <c r="AC3">
        <v>7029.5694446380949</v>
      </c>
      <c r="AD3">
        <v>9328.2104455948811</v>
      </c>
      <c r="AE3">
        <v>2058.5056928286267</v>
      </c>
      <c r="AF3">
        <v>5136.8195165868938</v>
      </c>
      <c r="AG3">
        <v>2098.0512958684076</v>
      </c>
      <c r="AH3">
        <v>900.64904670277531</v>
      </c>
      <c r="AI3">
        <v>2612.9977481878636</v>
      </c>
      <c r="AJ3">
        <v>439.02204871586605</v>
      </c>
      <c r="AK3">
        <v>324.11748026822494</v>
      </c>
      <c r="AM3">
        <v>2025</v>
      </c>
      <c r="AN3">
        <v>23151.93403351431</v>
      </c>
      <c r="AO3">
        <v>7071.3127010754752</v>
      </c>
      <c r="AP3">
        <v>9357.6327338278679</v>
      </c>
      <c r="AQ3">
        <v>2257.968263709869</v>
      </c>
      <c r="AR3">
        <v>5876.8048279717204</v>
      </c>
      <c r="AS3">
        <v>2535.9481594555382</v>
      </c>
      <c r="AT3">
        <v>1081.183623463314</v>
      </c>
      <c r="AU3">
        <v>2153.7616269662872</v>
      </c>
      <c r="AV3">
        <v>415.53625390793178</v>
      </c>
      <c r="AW3">
        <v>1856.949492015935</v>
      </c>
    </row>
    <row r="4" spans="1:49" x14ac:dyDescent="0.25">
      <c r="C4">
        <v>2026</v>
      </c>
      <c r="D4">
        <v>47471.367185229683</v>
      </c>
      <c r="E4">
        <v>11194.6087094635</v>
      </c>
      <c r="F4">
        <v>15263.074502124069</v>
      </c>
      <c r="G4">
        <v>3340.672901478099</v>
      </c>
      <c r="H4">
        <v>14090.173774704899</v>
      </c>
      <c r="I4">
        <v>6391.6950932598793</v>
      </c>
      <c r="J4">
        <v>2950.6165427279361</v>
      </c>
      <c r="K4">
        <v>1996.2944147995161</v>
      </c>
      <c r="L4">
        <v>1426.750797343291</v>
      </c>
      <c r="M4">
        <v>8456.2836698967712</v>
      </c>
      <c r="O4">
        <v>2026</v>
      </c>
      <c r="P4">
        <v>40732.119652629975</v>
      </c>
      <c r="Q4">
        <v>2170.3765639177213</v>
      </c>
      <c r="R4">
        <v>2125.8145582655106</v>
      </c>
      <c r="S4">
        <v>1142.8995216038704</v>
      </c>
      <c r="T4">
        <v>5866.6341696399795</v>
      </c>
      <c r="U4">
        <v>10615.485929197417</v>
      </c>
      <c r="V4">
        <v>5581.9659027989137</v>
      </c>
      <c r="W4">
        <v>99.965154950274638</v>
      </c>
      <c r="X4">
        <v>163.39198285186507</v>
      </c>
      <c r="Y4">
        <v>617.58748856792249</v>
      </c>
      <c r="AA4">
        <v>2026</v>
      </c>
      <c r="AB4">
        <v>21994.337331838597</v>
      </c>
      <c r="AC4">
        <v>7000.5995740647204</v>
      </c>
      <c r="AD4">
        <v>9264.0564064895934</v>
      </c>
      <c r="AE4">
        <v>2145.0698505243759</v>
      </c>
      <c r="AF4">
        <v>5582.9645865731354</v>
      </c>
      <c r="AG4">
        <v>2409.1507514827613</v>
      </c>
      <c r="AH4">
        <v>1027.1244422901482</v>
      </c>
      <c r="AI4">
        <v>2399.1637188065847</v>
      </c>
      <c r="AJ4">
        <v>448.75042559196748</v>
      </c>
      <c r="AK4">
        <v>347.39296231945639</v>
      </c>
      <c r="AM4">
        <v>2026</v>
      </c>
      <c r="AN4">
        <v>24977.86430193725</v>
      </c>
      <c r="AO4">
        <v>7161.3260280287786</v>
      </c>
      <c r="AP4">
        <v>9536.425723877237</v>
      </c>
      <c r="AQ4">
        <v>2357.68893670118</v>
      </c>
      <c r="AR4">
        <v>6420.0415154037119</v>
      </c>
      <c r="AS4">
        <v>2589.2784093180271</v>
      </c>
      <c r="AT4">
        <v>1121.8436614594241</v>
      </c>
      <c r="AU4">
        <v>2076.9868677173222</v>
      </c>
      <c r="AV4">
        <v>433.1940525248155</v>
      </c>
      <c r="AW4">
        <v>2108.4496156756359</v>
      </c>
    </row>
    <row r="5" spans="1:49" x14ac:dyDescent="0.25">
      <c r="C5">
        <v>2027</v>
      </c>
      <c r="D5">
        <v>46657.245930944613</v>
      </c>
      <c r="E5">
        <v>11209.220194277819</v>
      </c>
      <c r="F5">
        <v>15202.142330034059</v>
      </c>
      <c r="G5">
        <v>3425.1026297690019</v>
      </c>
      <c r="H5">
        <v>14950.26555066479</v>
      </c>
      <c r="I5">
        <v>6339.5869649082406</v>
      </c>
      <c r="J5">
        <v>2928.16804716653</v>
      </c>
      <c r="K5">
        <v>1933.829117553551</v>
      </c>
      <c r="L5">
        <v>1421.0702115826759</v>
      </c>
      <c r="M5">
        <v>9322.6426579322142</v>
      </c>
      <c r="O5">
        <v>2027</v>
      </c>
      <c r="P5">
        <v>37930.201192550529</v>
      </c>
      <c r="Q5">
        <v>2083.0391295856984</v>
      </c>
      <c r="R5">
        <v>1894.5349946908743</v>
      </c>
      <c r="S5">
        <v>1126.4221350013872</v>
      </c>
      <c r="T5">
        <v>6060.4544191990981</v>
      </c>
      <c r="U5">
        <v>10438.219592905902</v>
      </c>
      <c r="V5">
        <v>5507.7720065081576</v>
      </c>
      <c r="W5">
        <v>92.074977541640493</v>
      </c>
      <c r="X5">
        <v>166.36916304382302</v>
      </c>
      <c r="Y5">
        <v>659.55009745220411</v>
      </c>
      <c r="AA5">
        <v>2027</v>
      </c>
      <c r="AB5">
        <v>23728.971086840389</v>
      </c>
      <c r="AC5">
        <v>7089.7127677484896</v>
      </c>
      <c r="AD5">
        <v>9441.0614666384645</v>
      </c>
      <c r="AE5">
        <v>2239.804489866121</v>
      </c>
      <c r="AF5">
        <v>6099.0394396335278</v>
      </c>
      <c r="AG5">
        <v>2459.8144888521251</v>
      </c>
      <c r="AH5">
        <v>1065.7514783864528</v>
      </c>
      <c r="AI5">
        <v>2209.7994609993652</v>
      </c>
      <c r="AJ5">
        <v>456.92714794324939</v>
      </c>
      <c r="AK5">
        <v>370.99692981686485</v>
      </c>
      <c r="AM5">
        <v>2027</v>
      </c>
      <c r="AN5">
        <v>26866.390504420131</v>
      </c>
      <c r="AO5">
        <v>7260.7936719687541</v>
      </c>
      <c r="AP5">
        <v>9726.244861313382</v>
      </c>
      <c r="AQ5">
        <v>2453.967042709774</v>
      </c>
      <c r="AR5">
        <v>6995.019249103012</v>
      </c>
      <c r="AS5">
        <v>2642.7583914765501</v>
      </c>
      <c r="AT5">
        <v>1159.6001778844679</v>
      </c>
      <c r="AU5">
        <v>2009.9519787433121</v>
      </c>
      <c r="AV5">
        <v>448.76159214422722</v>
      </c>
      <c r="AW5">
        <v>2358.0155413296479</v>
      </c>
    </row>
    <row r="6" spans="1:49" x14ac:dyDescent="0.25">
      <c r="C6">
        <v>2028</v>
      </c>
      <c r="D6">
        <v>45757.149047579573</v>
      </c>
      <c r="E6">
        <v>11249.62730350631</v>
      </c>
      <c r="F6">
        <v>15313.380492084079</v>
      </c>
      <c r="G6">
        <v>3504.316508764739</v>
      </c>
      <c r="H6">
        <v>15833.53273591518</v>
      </c>
      <c r="I6">
        <v>6267.0579425487749</v>
      </c>
      <c r="J6">
        <v>2907.0240783997301</v>
      </c>
      <c r="K6">
        <v>1878.428301017371</v>
      </c>
      <c r="L6">
        <v>1415.0803027206589</v>
      </c>
      <c r="M6">
        <v>10178.970281907479</v>
      </c>
      <c r="O6">
        <v>2028</v>
      </c>
      <c r="P6">
        <v>34955.55576645898</v>
      </c>
      <c r="Q6">
        <v>2007.764615866467</v>
      </c>
      <c r="R6">
        <v>1777.5255984822559</v>
      </c>
      <c r="S6">
        <v>1108.4152753672254</v>
      </c>
      <c r="T6">
        <v>6243.7443295042867</v>
      </c>
      <c r="U6">
        <v>10223.940969562886</v>
      </c>
      <c r="V6">
        <v>5439.5416333833055</v>
      </c>
      <c r="W6">
        <v>85.121957922331092</v>
      </c>
      <c r="X6">
        <v>168.55033911744096</v>
      </c>
      <c r="Y6">
        <v>702.15870482313358</v>
      </c>
      <c r="AA6">
        <v>2028</v>
      </c>
      <c r="AB6">
        <v>25523.070979199125</v>
      </c>
      <c r="AC6">
        <v>7188.1857352490661</v>
      </c>
      <c r="AD6">
        <v>9628.9824127002448</v>
      </c>
      <c r="AE6">
        <v>2331.2686905742844</v>
      </c>
      <c r="AF6">
        <v>6645.2682866478608</v>
      </c>
      <c r="AG6">
        <v>2510.6204719027228</v>
      </c>
      <c r="AH6">
        <v>1101.6201689902443</v>
      </c>
      <c r="AI6">
        <v>2042.9269901359405</v>
      </c>
      <c r="AJ6">
        <v>462.91767253474336</v>
      </c>
      <c r="AK6">
        <v>394.96427146301261</v>
      </c>
      <c r="AM6">
        <v>2028</v>
      </c>
      <c r="AN6">
        <v>28785.57002344753</v>
      </c>
      <c r="AO6">
        <v>7372.2708221005396</v>
      </c>
      <c r="AP6">
        <v>9947.8510598402772</v>
      </c>
      <c r="AQ6">
        <v>2547.8535875082671</v>
      </c>
      <c r="AR6">
        <v>7605.0915595124734</v>
      </c>
      <c r="AS6">
        <v>2689.4514958133268</v>
      </c>
      <c r="AT6">
        <v>1194.2223379525481</v>
      </c>
      <c r="AU6">
        <v>1952.00556949222</v>
      </c>
      <c r="AV6">
        <v>462.01714431325269</v>
      </c>
      <c r="AW6">
        <v>2607.5438178580512</v>
      </c>
    </row>
    <row r="7" spans="1:49" x14ac:dyDescent="0.25">
      <c r="C7">
        <v>2029</v>
      </c>
      <c r="D7">
        <v>44934.918727871758</v>
      </c>
      <c r="E7">
        <v>11284.087040075679</v>
      </c>
      <c r="F7">
        <v>15397.799976725109</v>
      </c>
      <c r="G7">
        <v>3580.168150178823</v>
      </c>
      <c r="H7">
        <v>16734.678184355209</v>
      </c>
      <c r="I7">
        <v>6206.3319168348653</v>
      </c>
      <c r="J7">
        <v>2886.6693414845208</v>
      </c>
      <c r="K7">
        <v>1828.91489404566</v>
      </c>
      <c r="L7">
        <v>1403.942827733541</v>
      </c>
      <c r="M7">
        <v>11041.419580809959</v>
      </c>
      <c r="O7">
        <v>2029</v>
      </c>
      <c r="P7">
        <v>32058.173592162017</v>
      </c>
      <c r="Q7">
        <v>1916.1505369071469</v>
      </c>
      <c r="R7">
        <v>1609.7892710136828</v>
      </c>
      <c r="S7">
        <v>1089.6300197059099</v>
      </c>
      <c r="T7">
        <v>6409.5150192107812</v>
      </c>
      <c r="U7">
        <v>10043.704719310927</v>
      </c>
      <c r="V7">
        <v>5376.1225829491286</v>
      </c>
      <c r="W7">
        <v>78.990757976423723</v>
      </c>
      <c r="X7">
        <v>169.62001071927071</v>
      </c>
      <c r="Y7">
        <v>746.34655751054527</v>
      </c>
      <c r="AA7">
        <v>2029</v>
      </c>
      <c r="AB7">
        <v>27346.291522275151</v>
      </c>
      <c r="AC7">
        <v>7298.548113879534</v>
      </c>
      <c r="AD7">
        <v>9848.3725492418725</v>
      </c>
      <c r="AE7">
        <v>2420.460908132854</v>
      </c>
      <c r="AF7">
        <v>7224.8369815368551</v>
      </c>
      <c r="AG7">
        <v>2554.9789210226595</v>
      </c>
      <c r="AH7">
        <v>1134.5112210549207</v>
      </c>
      <c r="AI7">
        <v>1895.7781914341633</v>
      </c>
      <c r="AJ7">
        <v>465.85548856577782</v>
      </c>
      <c r="AK7">
        <v>419.81993859968162</v>
      </c>
      <c r="AM7">
        <v>2029</v>
      </c>
      <c r="AN7">
        <v>30715.836315017161</v>
      </c>
      <c r="AO7">
        <v>7490.3526113539247</v>
      </c>
      <c r="AP7">
        <v>10192.8439947568</v>
      </c>
      <c r="AQ7">
        <v>2640.7967665600308</v>
      </c>
      <c r="AR7">
        <v>8251.5343356229678</v>
      </c>
      <c r="AS7">
        <v>2734.6927657298838</v>
      </c>
      <c r="AT7">
        <v>1226.381462829951</v>
      </c>
      <c r="AU7">
        <v>1902.147938910821</v>
      </c>
      <c r="AV7">
        <v>472.72988489051198</v>
      </c>
      <c r="AW7">
        <v>2860.9174991461582</v>
      </c>
    </row>
    <row r="8" spans="1:49" x14ac:dyDescent="0.25">
      <c r="C8">
        <v>2030</v>
      </c>
      <c r="D8">
        <v>44228.459556967558</v>
      </c>
      <c r="E8">
        <v>11312.052068034671</v>
      </c>
      <c r="F8">
        <v>15479.544885985089</v>
      </c>
      <c r="G8">
        <v>3654.9463767191442</v>
      </c>
      <c r="H8">
        <v>17655.634588369921</v>
      </c>
      <c r="I8">
        <v>6157.6505592708336</v>
      </c>
      <c r="J8">
        <v>2867.3739490979301</v>
      </c>
      <c r="K8">
        <v>1783.4035877222079</v>
      </c>
      <c r="L8">
        <v>1395.035528658691</v>
      </c>
      <c r="M8">
        <v>11906.651831027009</v>
      </c>
      <c r="O8">
        <v>2030</v>
      </c>
      <c r="P8">
        <v>29310.613330572138</v>
      </c>
      <c r="Q8">
        <v>1812.9267935123955</v>
      </c>
      <c r="R8">
        <v>1417.2527348104506</v>
      </c>
      <c r="S8">
        <v>1070.8754205116697</v>
      </c>
      <c r="T8">
        <v>6558.5748659945093</v>
      </c>
      <c r="U8">
        <v>9892.379215076633</v>
      </c>
      <c r="V8">
        <v>5316.9031280654663</v>
      </c>
      <c r="W8">
        <v>73.564312405915757</v>
      </c>
      <c r="X8">
        <v>170.37611704447727</v>
      </c>
      <c r="Y8">
        <v>792.08859955846583</v>
      </c>
      <c r="AA8">
        <v>2030</v>
      </c>
      <c r="AB8">
        <v>29180.044499266303</v>
      </c>
      <c r="AC8">
        <v>7415.449085240386</v>
      </c>
      <c r="AD8">
        <v>10090.915554809226</v>
      </c>
      <c r="AE8">
        <v>2508.7569282320292</v>
      </c>
      <c r="AF8">
        <v>7838.9576188418168</v>
      </c>
      <c r="AG8">
        <v>2597.9581274433908</v>
      </c>
      <c r="AH8">
        <v>1165.0623896884533</v>
      </c>
      <c r="AI8">
        <v>1765.5434977419729</v>
      </c>
      <c r="AJ8">
        <v>467.93210841766421</v>
      </c>
      <c r="AK8">
        <v>445.54983725163692</v>
      </c>
      <c r="AM8">
        <v>2030</v>
      </c>
      <c r="AN8">
        <v>32618.33189748221</v>
      </c>
      <c r="AO8">
        <v>7614.2527322912774</v>
      </c>
      <c r="AP8">
        <v>10461.52757336642</v>
      </c>
      <c r="AQ8">
        <v>2734.0237454009521</v>
      </c>
      <c r="AR8">
        <v>8935.4773787937938</v>
      </c>
      <c r="AS8">
        <v>2780.323015564933</v>
      </c>
      <c r="AT8">
        <v>1257.419657073016</v>
      </c>
      <c r="AU8">
        <v>1859.332753243978</v>
      </c>
      <c r="AV8">
        <v>482.18887625340352</v>
      </c>
      <c r="AW8">
        <v>3119.413208170502</v>
      </c>
    </row>
    <row r="9" spans="1:49" x14ac:dyDescent="0.25">
      <c r="C9">
        <v>2031</v>
      </c>
      <c r="D9">
        <v>43614.900738585668</v>
      </c>
      <c r="E9">
        <v>11351.992806334531</v>
      </c>
      <c r="F9">
        <v>15556.93253505258</v>
      </c>
      <c r="G9">
        <v>3727.4543189309438</v>
      </c>
      <c r="H9">
        <v>18589.28504930744</v>
      </c>
      <c r="I9">
        <v>6124.0491782124627</v>
      </c>
      <c r="J9">
        <v>2858.9829213226531</v>
      </c>
      <c r="K9">
        <v>1741.365965929966</v>
      </c>
      <c r="L9">
        <v>1384.907146911999</v>
      </c>
      <c r="M9">
        <v>12771.093001117069</v>
      </c>
      <c r="O9">
        <v>2031</v>
      </c>
      <c r="P9">
        <v>26722.673068760829</v>
      </c>
      <c r="Q9">
        <v>1713.7488126390263</v>
      </c>
      <c r="R9">
        <v>1198.6886686832383</v>
      </c>
      <c r="S9">
        <v>1049.7788430306102</v>
      </c>
      <c r="T9">
        <v>6684.3339250893196</v>
      </c>
      <c r="U9">
        <v>9773.7153863582771</v>
      </c>
      <c r="V9">
        <v>5282.0983913041964</v>
      </c>
      <c r="W9">
        <v>68.782115428613864</v>
      </c>
      <c r="X9">
        <v>170.65388389121395</v>
      </c>
      <c r="Y9">
        <v>839.42705308917391</v>
      </c>
      <c r="AA9">
        <v>2031</v>
      </c>
      <c r="AB9">
        <v>30987.4153026081</v>
      </c>
      <c r="AC9">
        <v>7538.110204968365</v>
      </c>
      <c r="AD9">
        <v>10356.912297632756</v>
      </c>
      <c r="AE9">
        <v>2597.3225581309043</v>
      </c>
      <c r="AF9">
        <v>8488.7035098541037</v>
      </c>
      <c r="AG9">
        <v>2641.3068647866867</v>
      </c>
      <c r="AH9">
        <v>1194.5486742193652</v>
      </c>
      <c r="AI9">
        <v>1650.7707702867274</v>
      </c>
      <c r="AJ9">
        <v>468.69498544818163</v>
      </c>
      <c r="AK9">
        <v>472.17771736266025</v>
      </c>
      <c r="AM9">
        <v>2031</v>
      </c>
      <c r="AN9">
        <v>34449.772064473967</v>
      </c>
      <c r="AO9">
        <v>7746.4995386581686</v>
      </c>
      <c r="AP9">
        <v>10750.606057712361</v>
      </c>
      <c r="AQ9">
        <v>2827.9579161800598</v>
      </c>
      <c r="AR9">
        <v>9655.1340982457441</v>
      </c>
      <c r="AS9">
        <v>2828.7523655495552</v>
      </c>
      <c r="AT9">
        <v>1290.6611003133539</v>
      </c>
      <c r="AU9">
        <v>1823.013681029423</v>
      </c>
      <c r="AV9">
        <v>490.42690181389139</v>
      </c>
      <c r="AW9">
        <v>3382.6829318317232</v>
      </c>
    </row>
    <row r="10" spans="1:49" x14ac:dyDescent="0.25">
      <c r="C10">
        <v>2032</v>
      </c>
      <c r="D10">
        <v>43078.629862746857</v>
      </c>
      <c r="E10">
        <v>11392.705406409639</v>
      </c>
      <c r="F10">
        <v>15642.17213688556</v>
      </c>
      <c r="G10">
        <v>3797.8368044146901</v>
      </c>
      <c r="H10">
        <v>19525.5382655018</v>
      </c>
      <c r="I10">
        <v>6110.9854952453097</v>
      </c>
      <c r="J10">
        <v>2864.7022906442489</v>
      </c>
      <c r="K10">
        <v>1704.0938984785951</v>
      </c>
      <c r="L10">
        <v>1373.7763842883139</v>
      </c>
      <c r="M10">
        <v>13629.360356981149</v>
      </c>
      <c r="O10">
        <v>2032</v>
      </c>
      <c r="P10">
        <v>24315.991133782831</v>
      </c>
      <c r="Q10">
        <v>1607.0732505822059</v>
      </c>
      <c r="R10">
        <v>966.67536075832027</v>
      </c>
      <c r="S10">
        <v>1026.0851998266387</v>
      </c>
      <c r="T10">
        <v>6780.3329962321841</v>
      </c>
      <c r="U10">
        <v>9695.7407184890653</v>
      </c>
      <c r="V10">
        <v>5274.7572044613644</v>
      </c>
      <c r="W10">
        <v>64.652428169052797</v>
      </c>
      <c r="X10">
        <v>170.60483919775706</v>
      </c>
      <c r="Y10">
        <v>888.30610242939292</v>
      </c>
      <c r="AA10">
        <v>2032</v>
      </c>
      <c r="AB10">
        <v>32727.28346125027</v>
      </c>
      <c r="AC10">
        <v>7669.0345432715867</v>
      </c>
      <c r="AD10">
        <v>10643.099997135239</v>
      </c>
      <c r="AE10">
        <v>2686.5600203710565</v>
      </c>
      <c r="AF10">
        <v>9172.3773933334578</v>
      </c>
      <c r="AG10">
        <v>2687.3147472720771</v>
      </c>
      <c r="AH10">
        <v>1226.128045297686</v>
      </c>
      <c r="AI10">
        <v>1551.6582760572624</v>
      </c>
      <c r="AJ10">
        <v>468.56028589513357</v>
      </c>
      <c r="AK10">
        <v>499.67218261653341</v>
      </c>
      <c r="AM10">
        <v>2032</v>
      </c>
      <c r="AN10">
        <v>36178.065970813528</v>
      </c>
      <c r="AO10">
        <v>7884.9179675341347</v>
      </c>
      <c r="AP10">
        <v>11055.58348494201</v>
      </c>
      <c r="AQ10">
        <v>2922.677783362331</v>
      </c>
      <c r="AR10">
        <v>10407.20200933026</v>
      </c>
      <c r="AS10">
        <v>2882.5845981993139</v>
      </c>
      <c r="AT10">
        <v>1328.6525075503421</v>
      </c>
      <c r="AU10">
        <v>1793.320084720604</v>
      </c>
      <c r="AV10">
        <v>497.90623013184779</v>
      </c>
      <c r="AW10">
        <v>3648.6349101532378</v>
      </c>
    </row>
    <row r="11" spans="1:49" x14ac:dyDescent="0.25">
      <c r="C11">
        <v>2033</v>
      </c>
      <c r="D11">
        <v>42618.003557506512</v>
      </c>
      <c r="E11">
        <v>11433.336813731299</v>
      </c>
      <c r="F11">
        <v>15733.83321291038</v>
      </c>
      <c r="G11">
        <v>3865.4845798256179</v>
      </c>
      <c r="H11">
        <v>20459.725760067609</v>
      </c>
      <c r="I11">
        <v>6115.1170447799404</v>
      </c>
      <c r="J11">
        <v>2878.7113251581709</v>
      </c>
      <c r="K11">
        <v>1671.7443290227141</v>
      </c>
      <c r="L11">
        <v>1369.1305111129791</v>
      </c>
      <c r="M11">
        <v>14475.188055040009</v>
      </c>
      <c r="O11">
        <v>2033</v>
      </c>
      <c r="P11">
        <v>22117.441451173956</v>
      </c>
      <c r="Q11">
        <v>1494.4011239047502</v>
      </c>
      <c r="R11">
        <v>725.177903247828</v>
      </c>
      <c r="S11">
        <v>999.13400789825891</v>
      </c>
      <c r="T11">
        <v>6845.7213363761321</v>
      </c>
      <c r="U11">
        <v>9648.2467983453953</v>
      </c>
      <c r="V11">
        <v>5278.0573984401526</v>
      </c>
      <c r="W11">
        <v>61.167017213503186</v>
      </c>
      <c r="X11">
        <v>171.03561470908446</v>
      </c>
      <c r="Y11">
        <v>938.48575195962815</v>
      </c>
      <c r="AA11">
        <v>2033</v>
      </c>
      <c r="AB11">
        <v>34369.162672272847</v>
      </c>
      <c r="AC11">
        <v>7806.0687878587923</v>
      </c>
      <c r="AD11">
        <v>10945.027650092596</v>
      </c>
      <c r="AE11">
        <v>2776.5438941942139</v>
      </c>
      <c r="AF11">
        <v>9886.8419088637438</v>
      </c>
      <c r="AG11">
        <v>2738.455368289347</v>
      </c>
      <c r="AH11">
        <v>1262.2198821728246</v>
      </c>
      <c r="AI11">
        <v>1468.0084131240715</v>
      </c>
      <c r="AJ11">
        <v>469.74339592702546</v>
      </c>
      <c r="AK11">
        <v>527.89823547729088</v>
      </c>
      <c r="AM11">
        <v>2033</v>
      </c>
      <c r="AN11">
        <v>37788.001770961622</v>
      </c>
      <c r="AO11">
        <v>8028.9117629274751</v>
      </c>
      <c r="AP11">
        <v>11369.954134784701</v>
      </c>
      <c r="AQ11">
        <v>3017.7865934214319</v>
      </c>
      <c r="AR11">
        <v>11189.09024395053</v>
      </c>
      <c r="AS11">
        <v>2942.6932734105371</v>
      </c>
      <c r="AT11">
        <v>1372.343827222594</v>
      </c>
      <c r="AU11">
        <v>1770.3369675981489</v>
      </c>
      <c r="AV11">
        <v>505.97697738933789</v>
      </c>
      <c r="AW11">
        <v>3913.9588178163222</v>
      </c>
    </row>
    <row r="12" spans="1:49" x14ac:dyDescent="0.25">
      <c r="C12">
        <v>2034</v>
      </c>
      <c r="D12">
        <v>42235.055683074323</v>
      </c>
      <c r="E12">
        <v>11481.21503670349</v>
      </c>
      <c r="F12">
        <v>15808.28607796434</v>
      </c>
      <c r="G12">
        <v>3931.9772244455148</v>
      </c>
      <c r="H12">
        <v>21386.67356782945</v>
      </c>
      <c r="I12">
        <v>6135.7861426735972</v>
      </c>
      <c r="J12">
        <v>2903.8835101747241</v>
      </c>
      <c r="K12">
        <v>1643.157398384172</v>
      </c>
      <c r="L12">
        <v>1364.824337754887</v>
      </c>
      <c r="M12">
        <v>15301.738280224299</v>
      </c>
      <c r="O12">
        <v>2034</v>
      </c>
      <c r="P12">
        <v>20140.260035575422</v>
      </c>
      <c r="Q12">
        <v>1382.3129342085306</v>
      </c>
      <c r="R12">
        <v>464.02207361921995</v>
      </c>
      <c r="S12">
        <v>970.84908021721753</v>
      </c>
      <c r="T12">
        <v>6878.3238816884686</v>
      </c>
      <c r="U12">
        <v>9627.9728981514472</v>
      </c>
      <c r="V12">
        <v>5296.67549450363</v>
      </c>
      <c r="W12">
        <v>58.290767640767051</v>
      </c>
      <c r="X12">
        <v>171.45506048117764</v>
      </c>
      <c r="Y12">
        <v>989.43060150930205</v>
      </c>
      <c r="AA12">
        <v>2034</v>
      </c>
      <c r="AB12">
        <v>35898.601682413537</v>
      </c>
      <c r="AC12">
        <v>7948.6226452982</v>
      </c>
      <c r="AD12">
        <v>11256.254593436861</v>
      </c>
      <c r="AE12">
        <v>2866.8972637503607</v>
      </c>
      <c r="AF12">
        <v>10629.635731753006</v>
      </c>
      <c r="AG12">
        <v>2795.5586097400101</v>
      </c>
      <c r="AH12">
        <v>1303.7266358614643</v>
      </c>
      <c r="AI12">
        <v>1398.9784233784048</v>
      </c>
      <c r="AJ12">
        <v>470.89538922225472</v>
      </c>
      <c r="AK12">
        <v>556.55471334898277</v>
      </c>
      <c r="AM12">
        <v>2034</v>
      </c>
      <c r="AN12">
        <v>39280.136340091653</v>
      </c>
      <c r="AO12">
        <v>8179.2818560907926</v>
      </c>
      <c r="AP12">
        <v>11685.311366247061</v>
      </c>
      <c r="AQ12">
        <v>3112.915215864055</v>
      </c>
      <c r="AR12">
        <v>11998.63639935926</v>
      </c>
      <c r="AS12">
        <v>3009.4058919458921</v>
      </c>
      <c r="AT12">
        <v>1423.494056015056</v>
      </c>
      <c r="AU12">
        <v>1753.938205742317</v>
      </c>
      <c r="AV12">
        <v>514.20294662897447</v>
      </c>
      <c r="AW12">
        <v>4175.1226208054741</v>
      </c>
    </row>
    <row r="13" spans="1:49" x14ac:dyDescent="0.25">
      <c r="C13">
        <v>2035</v>
      </c>
      <c r="D13">
        <v>41934.695339648613</v>
      </c>
      <c r="E13">
        <v>11527.09849185852</v>
      </c>
      <c r="F13">
        <v>15861.606290264799</v>
      </c>
      <c r="G13">
        <v>3994.8297034657498</v>
      </c>
      <c r="H13">
        <v>22301.61104097301</v>
      </c>
      <c r="I13">
        <v>6172.0551802484933</v>
      </c>
      <c r="J13">
        <v>2940.0372722105558</v>
      </c>
      <c r="K13">
        <v>1618.1083112090851</v>
      </c>
      <c r="L13">
        <v>1362.8623268180629</v>
      </c>
      <c r="M13">
        <v>16103.976106456559</v>
      </c>
      <c r="O13">
        <v>2035</v>
      </c>
      <c r="P13">
        <v>18385.05143853313</v>
      </c>
      <c r="Q13">
        <v>1262.5899115948846</v>
      </c>
      <c r="R13">
        <v>189.01624481716249</v>
      </c>
      <c r="S13">
        <v>939.09085386386607</v>
      </c>
      <c r="T13">
        <v>6875.7399219042863</v>
      </c>
      <c r="U13">
        <v>9631.6708368182026</v>
      </c>
      <c r="V13">
        <v>5328.0881202286309</v>
      </c>
      <c r="W13">
        <v>56.018581157830667</v>
      </c>
      <c r="X13">
        <v>172.04330907742124</v>
      </c>
      <c r="Y13">
        <v>1040.4149148613674</v>
      </c>
      <c r="AA13">
        <v>2035</v>
      </c>
      <c r="AB13">
        <v>37316.129523087067</v>
      </c>
      <c r="AC13">
        <v>8097.4890375298846</v>
      </c>
      <c r="AD13">
        <v>11568.458252584593</v>
      </c>
      <c r="AE13">
        <v>2957.2694550708516</v>
      </c>
      <c r="AF13">
        <v>11398.704579391297</v>
      </c>
      <c r="AG13">
        <v>2858.9355973485995</v>
      </c>
      <c r="AH13">
        <v>1352.3193532143032</v>
      </c>
      <c r="AI13">
        <v>1344.4459477879316</v>
      </c>
      <c r="AJ13">
        <v>472.51099363142282</v>
      </c>
      <c r="AK13">
        <v>585.23338960951946</v>
      </c>
      <c r="AM13">
        <v>2035</v>
      </c>
      <c r="AN13">
        <v>40665.84837940093</v>
      </c>
      <c r="AO13">
        <v>8334.0188832272797</v>
      </c>
      <c r="AP13">
        <v>11994.678404587041</v>
      </c>
      <c r="AQ13">
        <v>3207.255963118298</v>
      </c>
      <c r="AR13">
        <v>12834.81949720902</v>
      </c>
      <c r="AS13">
        <v>3082.1640985862882</v>
      </c>
      <c r="AT13">
        <v>1482.7116756563239</v>
      </c>
      <c r="AU13">
        <v>1744.2059894123381</v>
      </c>
      <c r="AV13">
        <v>522.95858513539474</v>
      </c>
      <c r="AW13">
        <v>4429.8894204865774</v>
      </c>
    </row>
    <row r="14" spans="1:49" x14ac:dyDescent="0.25">
      <c r="C14">
        <v>2036</v>
      </c>
      <c r="D14">
        <v>41697.41845848658</v>
      </c>
      <c r="E14">
        <v>11570.1703429309</v>
      </c>
      <c r="F14">
        <v>15891.97544689303</v>
      </c>
      <c r="G14">
        <v>4052.0353417587839</v>
      </c>
      <c r="H14">
        <v>23202.500014549831</v>
      </c>
      <c r="I14">
        <v>6218.45988989125</v>
      </c>
      <c r="J14">
        <v>2985.7048494333071</v>
      </c>
      <c r="K14">
        <v>1599.5201025618589</v>
      </c>
      <c r="L14">
        <v>1364.190574773314</v>
      </c>
      <c r="M14">
        <v>16884.764748953829</v>
      </c>
      <c r="O14">
        <v>2036</v>
      </c>
      <c r="P14">
        <v>16810.054219609465</v>
      </c>
      <c r="Q14">
        <v>1136.5666508841925</v>
      </c>
      <c r="R14">
        <v>189.38617215007147</v>
      </c>
      <c r="S14">
        <v>902.57237254628842</v>
      </c>
      <c r="T14">
        <v>6836.709367314159</v>
      </c>
      <c r="U14">
        <v>9648.0385831622152</v>
      </c>
      <c r="V14">
        <v>5368.6417237809528</v>
      </c>
      <c r="W14">
        <v>54.430760155872711</v>
      </c>
      <c r="X14">
        <v>172.83503940373211</v>
      </c>
      <c r="Y14">
        <v>1090.9838484122743</v>
      </c>
      <c r="AA14">
        <v>2036</v>
      </c>
      <c r="AB14">
        <v>38632.55596043088</v>
      </c>
      <c r="AC14">
        <v>8250.6786943950065</v>
      </c>
      <c r="AD14">
        <v>11591.099105022362</v>
      </c>
      <c r="AE14">
        <v>3046.8931649623828</v>
      </c>
      <c r="AF14">
        <v>12193.078522348569</v>
      </c>
      <c r="AG14">
        <v>2928.0558936569723</v>
      </c>
      <c r="AH14">
        <v>1408.5760918735075</v>
      </c>
      <c r="AI14">
        <v>1306.3382437409414</v>
      </c>
      <c r="AJ14">
        <v>474.68545356932708</v>
      </c>
      <c r="AK14">
        <v>613.67841473190435</v>
      </c>
      <c r="AM14">
        <v>2036</v>
      </c>
      <c r="AN14">
        <v>41955.749388691329</v>
      </c>
      <c r="AO14">
        <v>8492.2222813557637</v>
      </c>
      <c r="AP14">
        <v>12292.55394378374</v>
      </c>
      <c r="AQ14">
        <v>3300.2067113221228</v>
      </c>
      <c r="AR14">
        <v>13698.50997731481</v>
      </c>
      <c r="AS14">
        <v>3159.2756463665869</v>
      </c>
      <c r="AT14">
        <v>1549.681421929813</v>
      </c>
      <c r="AU14">
        <v>1741.9106087936941</v>
      </c>
      <c r="AV14">
        <v>532.34323843518428</v>
      </c>
      <c r="AW14">
        <v>4679.09290372535</v>
      </c>
    </row>
    <row r="15" spans="1:49" x14ac:dyDescent="0.25">
      <c r="C15">
        <v>2037</v>
      </c>
      <c r="D15">
        <v>41520.806420101937</v>
      </c>
      <c r="E15">
        <v>11623.138625557171</v>
      </c>
      <c r="F15">
        <v>15907.080079836631</v>
      </c>
      <c r="G15">
        <v>4106.0975637123856</v>
      </c>
      <c r="H15">
        <v>24084.663946482629</v>
      </c>
      <c r="I15">
        <v>6270.5643026857233</v>
      </c>
      <c r="J15">
        <v>3038.9334121674829</v>
      </c>
      <c r="K15">
        <v>1585.9983191166041</v>
      </c>
      <c r="L15">
        <v>1365.9708625455139</v>
      </c>
      <c r="M15">
        <v>17649.229157278649</v>
      </c>
      <c r="O15">
        <v>2037</v>
      </c>
      <c r="P15">
        <v>15398.513492269669</v>
      </c>
      <c r="Q15">
        <v>1015.4233445004159</v>
      </c>
      <c r="R15">
        <v>189.61084849195274</v>
      </c>
      <c r="S15">
        <v>864.2544573152677</v>
      </c>
      <c r="T15">
        <v>6756.1850007634575</v>
      </c>
      <c r="U15">
        <v>9669.4871583682689</v>
      </c>
      <c r="V15">
        <v>5415.2000760704368</v>
      </c>
      <c r="W15">
        <v>53.477858837638919</v>
      </c>
      <c r="X15">
        <v>173.47946148610802</v>
      </c>
      <c r="Y15">
        <v>1140.7580594913056</v>
      </c>
      <c r="AA15">
        <v>2037</v>
      </c>
      <c r="AB15">
        <v>39857.961919256762</v>
      </c>
      <c r="AC15">
        <v>8407.3000585422051</v>
      </c>
      <c r="AD15">
        <v>11604.850086499699</v>
      </c>
      <c r="AE15">
        <v>3135.1963757560161</v>
      </c>
      <c r="AF15">
        <v>13013.584478449069</v>
      </c>
      <c r="AG15">
        <v>3001.3118640482589</v>
      </c>
      <c r="AH15">
        <v>1472.1973508333222</v>
      </c>
      <c r="AI15">
        <v>1283.4686121033303</v>
      </c>
      <c r="AJ15">
        <v>476.45533651388513</v>
      </c>
      <c r="AK15">
        <v>641.67640846385893</v>
      </c>
      <c r="AM15">
        <v>2037</v>
      </c>
      <c r="AN15">
        <v>43157.318896085817</v>
      </c>
      <c r="AO15">
        <v>8655.2007658830153</v>
      </c>
      <c r="AP15">
        <v>12575.67623900742</v>
      </c>
      <c r="AQ15">
        <v>3392.0218049808891</v>
      </c>
      <c r="AR15">
        <v>14591.471071045549</v>
      </c>
      <c r="AS15">
        <v>3239.127114677312</v>
      </c>
      <c r="AT15">
        <v>1623.4054260270109</v>
      </c>
      <c r="AU15">
        <v>1746.6409628131139</v>
      </c>
      <c r="AV15">
        <v>541.85390787388985</v>
      </c>
      <c r="AW15">
        <v>4926.9576448872413</v>
      </c>
    </row>
    <row r="16" spans="1:49" x14ac:dyDescent="0.25">
      <c r="C16">
        <v>2038</v>
      </c>
      <c r="D16">
        <v>41400.511732956351</v>
      </c>
      <c r="E16">
        <v>11676.785163289071</v>
      </c>
      <c r="F16">
        <v>15896.81425056148</v>
      </c>
      <c r="G16">
        <v>4158.5943967929643</v>
      </c>
      <c r="H16">
        <v>24948.68352184254</v>
      </c>
      <c r="I16">
        <v>6329.4459316966268</v>
      </c>
      <c r="J16">
        <v>3097.3418938888062</v>
      </c>
      <c r="K16">
        <v>1576.981814205421</v>
      </c>
      <c r="L16">
        <v>1372.930702675829</v>
      </c>
      <c r="M16">
        <v>18408.455203633941</v>
      </c>
      <c r="O16">
        <v>2038</v>
      </c>
      <c r="P16">
        <v>14136.489623700731</v>
      </c>
      <c r="Q16">
        <v>890.41414816405791</v>
      </c>
      <c r="R16">
        <v>189.55883275398799</v>
      </c>
      <c r="S16">
        <v>825.41567894187688</v>
      </c>
      <c r="T16">
        <v>6632.8585419119827</v>
      </c>
      <c r="U16">
        <v>9700.2300955082974</v>
      </c>
      <c r="V16">
        <v>5464.8988646100843</v>
      </c>
      <c r="W16">
        <v>53.120333400083922</v>
      </c>
      <c r="X16">
        <v>174.33409512785903</v>
      </c>
      <c r="Y16">
        <v>1189.8179262645547</v>
      </c>
      <c r="AA16">
        <v>2038</v>
      </c>
      <c r="AB16">
        <v>40999.452951281513</v>
      </c>
      <c r="AC16">
        <v>8568.6487582241843</v>
      </c>
      <c r="AD16">
        <v>11601.666540589646</v>
      </c>
      <c r="AE16">
        <v>3222.4207147318443</v>
      </c>
      <c r="AF16">
        <v>13861.897517493268</v>
      </c>
      <c r="AG16">
        <v>3077.1707589434436</v>
      </c>
      <c r="AH16">
        <v>1542.2351547256603</v>
      </c>
      <c r="AI16">
        <v>1274.8880016020105</v>
      </c>
      <c r="AJ16">
        <v>478.8025582304407</v>
      </c>
      <c r="AK16">
        <v>669.27258352381193</v>
      </c>
      <c r="AM16">
        <v>2038</v>
      </c>
      <c r="AN16">
        <v>44269.041485439768</v>
      </c>
      <c r="AO16">
        <v>8820.632355932632</v>
      </c>
      <c r="AP16">
        <v>12841.18134013169</v>
      </c>
      <c r="AQ16">
        <v>3483.3029303701692</v>
      </c>
      <c r="AR16">
        <v>15517.429206633509</v>
      </c>
      <c r="AS16">
        <v>3321.2466858102871</v>
      </c>
      <c r="AT16">
        <v>1702.4179683389989</v>
      </c>
      <c r="AU16">
        <v>1757.9123413433711</v>
      </c>
      <c r="AV16">
        <v>551.8895765475944</v>
      </c>
      <c r="AW16">
        <v>5181.0045415454451</v>
      </c>
    </row>
    <row r="17" spans="3:49" x14ac:dyDescent="0.25">
      <c r="C17">
        <v>2039</v>
      </c>
      <c r="D17">
        <v>41275.318344772582</v>
      </c>
      <c r="E17">
        <v>11714.980251559869</v>
      </c>
      <c r="F17">
        <v>15856.741222804059</v>
      </c>
      <c r="G17">
        <v>4208.5085452967523</v>
      </c>
      <c r="H17">
        <v>25797.923846355679</v>
      </c>
      <c r="I17">
        <v>6394.8610265436027</v>
      </c>
      <c r="J17">
        <v>3158.417425919205</v>
      </c>
      <c r="K17">
        <v>1571.1121444492951</v>
      </c>
      <c r="L17">
        <v>1381.1631050933361</v>
      </c>
      <c r="M17">
        <v>19182.935643757832</v>
      </c>
      <c r="O17">
        <v>2039</v>
      </c>
      <c r="P17">
        <v>12945.585590158526</v>
      </c>
      <c r="Q17">
        <v>750.7479175956596</v>
      </c>
      <c r="R17">
        <v>189.15911353356512</v>
      </c>
      <c r="S17">
        <v>784.48785135702906</v>
      </c>
      <c r="T17">
        <v>6466.1912743982903</v>
      </c>
      <c r="U17">
        <v>9741.2048865017641</v>
      </c>
      <c r="V17">
        <v>5515.3194811204339</v>
      </c>
      <c r="W17">
        <v>53.278976268436224</v>
      </c>
      <c r="X17">
        <v>174.9958797305552</v>
      </c>
      <c r="Y17">
        <v>1239.0208085546903</v>
      </c>
      <c r="AA17">
        <v>2039</v>
      </c>
      <c r="AB17">
        <v>42055.589411167777</v>
      </c>
      <c r="AC17">
        <v>8732.4260323733051</v>
      </c>
      <c r="AD17">
        <v>11577.202319968339</v>
      </c>
      <c r="AE17">
        <v>3309.1377838516601</v>
      </c>
      <c r="AF17">
        <v>14741.557746301829</v>
      </c>
      <c r="AG17">
        <v>3155.1843515197734</v>
      </c>
      <c r="AH17">
        <v>1617.2970699220486</v>
      </c>
      <c r="AI17">
        <v>1278.6954304424651</v>
      </c>
      <c r="AJ17">
        <v>480.62012673610838</v>
      </c>
      <c r="AK17">
        <v>696.94920481201336</v>
      </c>
      <c r="AM17">
        <v>2039</v>
      </c>
      <c r="AN17">
        <v>45274.235339126819</v>
      </c>
      <c r="AO17">
        <v>8984.7034327576948</v>
      </c>
      <c r="AP17">
        <v>13087.3062898766</v>
      </c>
      <c r="AQ17">
        <v>3574.6205949684609</v>
      </c>
      <c r="AR17">
        <v>16481.11971345291</v>
      </c>
      <c r="AS17">
        <v>3405.5681306029319</v>
      </c>
      <c r="AT17">
        <v>1785.050133567883</v>
      </c>
      <c r="AU17">
        <v>1774.763011712987</v>
      </c>
      <c r="AV17">
        <v>561.81648099904442</v>
      </c>
      <c r="AW17">
        <v>5451.0542369248178</v>
      </c>
    </row>
    <row r="18" spans="3:49" x14ac:dyDescent="0.25">
      <c r="C18">
        <v>2040</v>
      </c>
      <c r="D18">
        <v>41113.794218469207</v>
      </c>
      <c r="E18">
        <v>11746.470005954599</v>
      </c>
      <c r="F18">
        <v>15806.01603607725</v>
      </c>
      <c r="G18">
        <v>4256.204633793267</v>
      </c>
      <c r="H18">
        <v>26628.598400755451</v>
      </c>
      <c r="I18">
        <v>6465.9418567858456</v>
      </c>
      <c r="J18">
        <v>3220.8485915031888</v>
      </c>
      <c r="K18">
        <v>1566.5819250280981</v>
      </c>
      <c r="L18">
        <v>1389.4333414437331</v>
      </c>
      <c r="M18">
        <v>19985.07916968497</v>
      </c>
      <c r="O18">
        <v>2040</v>
      </c>
      <c r="P18">
        <v>11802.473334314485</v>
      </c>
      <c r="Q18">
        <v>607.23197476190114</v>
      </c>
      <c r="R18">
        <v>188.61280568607896</v>
      </c>
      <c r="S18">
        <v>741.30572487955988</v>
      </c>
      <c r="T18">
        <v>6249.1734406505775</v>
      </c>
      <c r="U18">
        <v>9791.8598121174946</v>
      </c>
      <c r="V18">
        <v>5566.926402269808</v>
      </c>
      <c r="W18">
        <v>53.843082266089503</v>
      </c>
      <c r="X18">
        <v>175.34787869452015</v>
      </c>
      <c r="Y18">
        <v>1288.912431370818</v>
      </c>
      <c r="AA18">
        <v>2040</v>
      </c>
      <c r="AB18">
        <v>43010.523572170474</v>
      </c>
      <c r="AC18">
        <v>8894.8563984301163</v>
      </c>
      <c r="AD18">
        <v>11543.766360361715</v>
      </c>
      <c r="AE18">
        <v>3395.8895652200385</v>
      </c>
      <c r="AF18">
        <v>15657.063727780267</v>
      </c>
      <c r="AG18">
        <v>3235.2897240727857</v>
      </c>
      <c r="AH18">
        <v>1695.7976268894886</v>
      </c>
      <c r="AI18">
        <v>1292.2339743861444</v>
      </c>
      <c r="AJ18">
        <v>481.58687970727686</v>
      </c>
      <c r="AK18">
        <v>725.01324264608525</v>
      </c>
      <c r="AM18">
        <v>2040</v>
      </c>
      <c r="AN18">
        <v>46156.250439052797</v>
      </c>
      <c r="AO18">
        <v>9147.5870680204025</v>
      </c>
      <c r="AP18">
        <v>13314.512740280779</v>
      </c>
      <c r="AQ18">
        <v>3666.6909783038618</v>
      </c>
      <c r="AR18">
        <v>17485.694808393189</v>
      </c>
      <c r="AS18">
        <v>3492.336247387369</v>
      </c>
      <c r="AT18">
        <v>1869.830243407785</v>
      </c>
      <c r="AU18">
        <v>1795.8347866863271</v>
      </c>
      <c r="AV18">
        <v>571.37580180895145</v>
      </c>
      <c r="AW18">
        <v>5746.2256145248393</v>
      </c>
    </row>
    <row r="19" spans="3:49" x14ac:dyDescent="0.25">
      <c r="C19">
        <v>2041</v>
      </c>
      <c r="D19">
        <v>40909.636497745807</v>
      </c>
      <c r="E19">
        <v>11784.29439208065</v>
      </c>
      <c r="F19">
        <v>15751.417717373881</v>
      </c>
      <c r="G19">
        <v>4301.1410694874503</v>
      </c>
      <c r="H19">
        <v>27444.972571087539</v>
      </c>
      <c r="I19">
        <v>6542.4660038769598</v>
      </c>
      <c r="J19">
        <v>3282.651076090156</v>
      </c>
      <c r="K19">
        <v>1562.2885405386639</v>
      </c>
      <c r="L19">
        <v>1399.4488602703971</v>
      </c>
      <c r="M19">
        <v>20812.222044603939</v>
      </c>
      <c r="O19">
        <v>2041</v>
      </c>
      <c r="P19">
        <v>10717.116833104137</v>
      </c>
      <c r="Q19">
        <v>470.25990984951454</v>
      </c>
      <c r="R19">
        <v>187.97814295071419</v>
      </c>
      <c r="S19">
        <v>694.67623530443313</v>
      </c>
      <c r="T19">
        <v>5983.0762947388439</v>
      </c>
      <c r="U19">
        <v>9852.5056977369368</v>
      </c>
      <c r="V19">
        <v>5618.0858703496888</v>
      </c>
      <c r="W19">
        <v>54.703479339374262</v>
      </c>
      <c r="X19">
        <v>175.60096371225916</v>
      </c>
      <c r="Y19">
        <v>1339.2384560106432</v>
      </c>
      <c r="AA19">
        <v>2041</v>
      </c>
      <c r="AB19">
        <v>43848.437917100149</v>
      </c>
      <c r="AC19">
        <v>9056.1111973401985</v>
      </c>
      <c r="AD19">
        <v>11504.922771200156</v>
      </c>
      <c r="AE19">
        <v>3483.3564293886689</v>
      </c>
      <c r="AF19">
        <v>16611.410067973527</v>
      </c>
      <c r="AG19">
        <v>3317.7194350179998</v>
      </c>
      <c r="AH19">
        <v>1776.3387312373957</v>
      </c>
      <c r="AI19">
        <v>1312.8835041449786</v>
      </c>
      <c r="AJ19">
        <v>482.28196894873804</v>
      </c>
      <c r="AK19">
        <v>753.32163150598683</v>
      </c>
      <c r="AM19">
        <v>2041</v>
      </c>
      <c r="AN19">
        <v>46904.076339246749</v>
      </c>
      <c r="AO19">
        <v>9310.5417411519338</v>
      </c>
      <c r="AP19">
        <v>13523.585117864741</v>
      </c>
      <c r="AQ19">
        <v>3759.945429636331</v>
      </c>
      <c r="AR19">
        <v>18534.79339046896</v>
      </c>
      <c r="AS19">
        <v>3581.9750909022318</v>
      </c>
      <c r="AT19">
        <v>1955.3344272437421</v>
      </c>
      <c r="AU19">
        <v>1819.6942974861429</v>
      </c>
      <c r="AV19">
        <v>580.77551332245309</v>
      </c>
      <c r="AW19">
        <v>6072.6741633541087</v>
      </c>
    </row>
    <row r="20" spans="3:49" x14ac:dyDescent="0.25">
      <c r="C20">
        <v>2042</v>
      </c>
      <c r="D20">
        <v>40643.151044271959</v>
      </c>
      <c r="E20">
        <v>11828.007701603379</v>
      </c>
      <c r="F20">
        <v>15672.81118062211</v>
      </c>
      <c r="G20">
        <v>4344.0042474819129</v>
      </c>
      <c r="H20">
        <v>28243.569196193919</v>
      </c>
      <c r="I20">
        <v>6619.0922070461174</v>
      </c>
      <c r="J20">
        <v>3340.7565589349019</v>
      </c>
      <c r="K20">
        <v>1561.6892867666979</v>
      </c>
      <c r="L20">
        <v>1409.3423521596651</v>
      </c>
      <c r="M20">
        <v>21670.86410362785</v>
      </c>
      <c r="O20">
        <v>2042</v>
      </c>
      <c r="P20">
        <v>9675.7210717624675</v>
      </c>
      <c r="Q20">
        <v>338.27266596984765</v>
      </c>
      <c r="R20">
        <v>187.00486076717388</v>
      </c>
      <c r="S20">
        <v>644.87301850031042</v>
      </c>
      <c r="T20">
        <v>5662.4165216832344</v>
      </c>
      <c r="U20">
        <v>9912.4505043836944</v>
      </c>
      <c r="V20">
        <v>5664.0340179671612</v>
      </c>
      <c r="W20">
        <v>55.863310425690585</v>
      </c>
      <c r="X20">
        <v>175.6701645837353</v>
      </c>
      <c r="Y20">
        <v>1390.4324056607061</v>
      </c>
      <c r="AA20">
        <v>2042</v>
      </c>
      <c r="AB20">
        <v>44558.872522284408</v>
      </c>
      <c r="AC20">
        <v>9217.4363237404141</v>
      </c>
      <c r="AD20">
        <v>11445.354482140327</v>
      </c>
      <c r="AE20">
        <v>3571.9481581545142</v>
      </c>
      <c r="AF20">
        <v>17608.053720945507</v>
      </c>
      <c r="AG20">
        <v>3402.8763363571188</v>
      </c>
      <c r="AH20">
        <v>1857.5677058815545</v>
      </c>
      <c r="AI20">
        <v>1340.7194502165698</v>
      </c>
      <c r="AJ20">
        <v>482.47202674707199</v>
      </c>
      <c r="AK20">
        <v>782.11822818414714</v>
      </c>
      <c r="AM20">
        <v>2042</v>
      </c>
      <c r="AN20">
        <v>47511.830988876973</v>
      </c>
      <c r="AO20">
        <v>9472.9294663356795</v>
      </c>
      <c r="AP20">
        <v>13714.176951894069</v>
      </c>
      <c r="AQ20">
        <v>3854.6370216031082</v>
      </c>
      <c r="AR20">
        <v>19629.35376064845</v>
      </c>
      <c r="AS20">
        <v>3674.042862874478</v>
      </c>
      <c r="AT20">
        <v>2040.1897601411599</v>
      </c>
      <c r="AU20">
        <v>1845.889421409003</v>
      </c>
      <c r="AV20">
        <v>589.857084471588</v>
      </c>
      <c r="AW20">
        <v>6434.3703494159163</v>
      </c>
    </row>
    <row r="21" spans="3:49" x14ac:dyDescent="0.25">
      <c r="C21">
        <v>2043</v>
      </c>
      <c r="D21">
        <v>40323.55051668427</v>
      </c>
      <c r="E21">
        <v>11858.740871280859</v>
      </c>
      <c r="F21">
        <v>15554.473488060181</v>
      </c>
      <c r="G21">
        <v>4386.443291676942</v>
      </c>
      <c r="H21">
        <v>29016.27915717239</v>
      </c>
      <c r="I21">
        <v>6695.3016623457506</v>
      </c>
      <c r="J21">
        <v>3394.8532699033249</v>
      </c>
      <c r="K21">
        <v>1563.6853835855329</v>
      </c>
      <c r="L21">
        <v>1420.179092462912</v>
      </c>
      <c r="M21">
        <v>22569.260045041079</v>
      </c>
      <c r="O21">
        <v>2043</v>
      </c>
      <c r="P21">
        <v>8696.8868486325518</v>
      </c>
      <c r="Q21">
        <v>196.64072484592853</v>
      </c>
      <c r="R21">
        <v>185.50161406312844</v>
      </c>
      <c r="S21">
        <v>593.2788563506607</v>
      </c>
      <c r="T21">
        <v>5280.3495471300648</v>
      </c>
      <c r="U21">
        <v>9971.214033807435</v>
      </c>
      <c r="V21">
        <v>5705.5768033596587</v>
      </c>
      <c r="W21">
        <v>57.186454937497039</v>
      </c>
      <c r="X21">
        <v>175.7539184964767</v>
      </c>
      <c r="Y21">
        <v>1443.111713331042</v>
      </c>
      <c r="AA21">
        <v>2043</v>
      </c>
      <c r="AB21">
        <v>45136.23943943312</v>
      </c>
      <c r="AC21">
        <v>9378.2001716723225</v>
      </c>
      <c r="AD21">
        <v>11353.350502504054</v>
      </c>
      <c r="AE21">
        <v>3661.9051705229526</v>
      </c>
      <c r="AF21">
        <v>18647.886072616027</v>
      </c>
      <c r="AG21">
        <v>3490.3407197307538</v>
      </c>
      <c r="AH21">
        <v>1938.1802721341021</v>
      </c>
      <c r="AI21">
        <v>1372.4749184999246</v>
      </c>
      <c r="AJ21">
        <v>482.70205396953259</v>
      </c>
      <c r="AK21">
        <v>811.7503387487111</v>
      </c>
      <c r="AM21">
        <v>2043</v>
      </c>
      <c r="AN21">
        <v>47985.783179748258</v>
      </c>
      <c r="AO21">
        <v>9630.9950072547817</v>
      </c>
      <c r="AP21">
        <v>13886.13445222822</v>
      </c>
      <c r="AQ21">
        <v>3950.828881545905</v>
      </c>
      <c r="AR21">
        <v>20767.8648856533</v>
      </c>
      <c r="AS21">
        <v>3768.4309843151741</v>
      </c>
      <c r="AT21">
        <v>2123.706135917178</v>
      </c>
      <c r="AU21">
        <v>1872.8633586304641</v>
      </c>
      <c r="AV21">
        <v>598.85628728728648</v>
      </c>
      <c r="AW21">
        <v>6832.6635165501029</v>
      </c>
    </row>
    <row r="22" spans="3:49" x14ac:dyDescent="0.25">
      <c r="C22">
        <v>2044</v>
      </c>
      <c r="D22">
        <v>39934.784893050673</v>
      </c>
      <c r="E22">
        <v>11873.184040770149</v>
      </c>
      <c r="F22">
        <v>15421.87084859354</v>
      </c>
      <c r="G22">
        <v>4427.7546480494057</v>
      </c>
      <c r="H22">
        <v>29765.228777785091</v>
      </c>
      <c r="I22">
        <v>6774.3370013558806</v>
      </c>
      <c r="J22">
        <v>3445.0263756776048</v>
      </c>
      <c r="K22">
        <v>1563.8312264869419</v>
      </c>
      <c r="L22">
        <v>1428.7518055056471</v>
      </c>
      <c r="M22">
        <v>23494.159037309801</v>
      </c>
      <c r="O22">
        <v>2044</v>
      </c>
      <c r="P22">
        <v>7753.4302205094391</v>
      </c>
      <c r="Q22">
        <v>46.358314382241737</v>
      </c>
      <c r="R22">
        <v>183.76546531373083</v>
      </c>
      <c r="S22">
        <v>539.14539434138328</v>
      </c>
      <c r="T22">
        <v>4840.470758775582</v>
      </c>
      <c r="U22">
        <v>10035.334346161962</v>
      </c>
      <c r="V22">
        <v>5743.1702769108952</v>
      </c>
      <c r="W22">
        <v>58.441046519430763</v>
      </c>
      <c r="X22">
        <v>175.63588653459024</v>
      </c>
      <c r="Y22">
        <v>1496.5670764493491</v>
      </c>
      <c r="AA22">
        <v>2044</v>
      </c>
      <c r="AB22">
        <v>45586.494020760838</v>
      </c>
      <c r="AC22">
        <v>9534.6850571822342</v>
      </c>
      <c r="AD22">
        <v>11247.092099438691</v>
      </c>
      <c r="AE22">
        <v>3753.2874374686098</v>
      </c>
      <c r="AF22">
        <v>19729.471641370634</v>
      </c>
      <c r="AG22">
        <v>3580.0094350994127</v>
      </c>
      <c r="AH22">
        <v>2017.5208291213191</v>
      </c>
      <c r="AI22">
        <v>1402.5851164663343</v>
      </c>
      <c r="AJ22">
        <v>482.37788327152435</v>
      </c>
      <c r="AK22">
        <v>841.81898050275902</v>
      </c>
      <c r="AM22">
        <v>2044</v>
      </c>
      <c r="AN22">
        <v>48337.032848523348</v>
      </c>
      <c r="AO22">
        <v>9783.3417715650794</v>
      </c>
      <c r="AP22">
        <v>14042.24735416361</v>
      </c>
      <c r="AQ22">
        <v>4048.084733527749</v>
      </c>
      <c r="AR22">
        <v>21949.28079072441</v>
      </c>
      <c r="AS22">
        <v>3865.346554153989</v>
      </c>
      <c r="AT22">
        <v>2205.5273052723592</v>
      </c>
      <c r="AU22">
        <v>1898.2118554956551</v>
      </c>
      <c r="AV22">
        <v>607.45275876656149</v>
      </c>
      <c r="AW22">
        <v>7265.0603467848014</v>
      </c>
    </row>
    <row r="23" spans="3:49" x14ac:dyDescent="0.25">
      <c r="C23">
        <v>2045</v>
      </c>
      <c r="D23">
        <v>39457.486243904423</v>
      </c>
      <c r="E23">
        <v>11891.77428386258</v>
      </c>
      <c r="F23">
        <v>15288.163640080569</v>
      </c>
      <c r="G23">
        <v>4468.2213451161833</v>
      </c>
      <c r="H23">
        <v>30488.870030714548</v>
      </c>
      <c r="I23">
        <v>6856.3522600889582</v>
      </c>
      <c r="J23">
        <v>3490.5664812085001</v>
      </c>
      <c r="K23">
        <v>1562.144098624068</v>
      </c>
      <c r="L23">
        <v>1435.1882386229161</v>
      </c>
      <c r="M23">
        <v>24429.629559447651</v>
      </c>
      <c r="O23">
        <v>2045</v>
      </c>
      <c r="P23">
        <v>6808.7905959589725</v>
      </c>
      <c r="Q23">
        <v>46.405703471304186</v>
      </c>
      <c r="R23">
        <v>181.95893101426472</v>
      </c>
      <c r="S23">
        <v>483.16331084296837</v>
      </c>
      <c r="T23">
        <v>4342.6275789703468</v>
      </c>
      <c r="U23">
        <v>10104.534451165518</v>
      </c>
      <c r="V23">
        <v>5774.6698825421918</v>
      </c>
      <c r="W23">
        <v>59.52837494618386</v>
      </c>
      <c r="X23">
        <v>175.3771173778924</v>
      </c>
      <c r="Y23">
        <v>1549.9323399528794</v>
      </c>
      <c r="AA23">
        <v>2045</v>
      </c>
      <c r="AB23">
        <v>45920.181206097186</v>
      </c>
      <c r="AC23">
        <v>9544.4317454598022</v>
      </c>
      <c r="AD23">
        <v>11136.525853423955</v>
      </c>
      <c r="AE23">
        <v>3845.6804968513625</v>
      </c>
      <c r="AF23">
        <v>20851.816751188187</v>
      </c>
      <c r="AG23">
        <v>3672.0792264462898</v>
      </c>
      <c r="AH23">
        <v>2095.2509400087411</v>
      </c>
      <c r="AI23">
        <v>1428.6809987084082</v>
      </c>
      <c r="AJ23">
        <v>481.66718273915166</v>
      </c>
      <c r="AK23">
        <v>871.83694122349482</v>
      </c>
      <c r="AM23">
        <v>2045</v>
      </c>
      <c r="AN23">
        <v>48581.514850309599</v>
      </c>
      <c r="AO23">
        <v>9932.779497084186</v>
      </c>
      <c r="AP23">
        <v>14185.86542048551</v>
      </c>
      <c r="AQ23">
        <v>4145.8971997437957</v>
      </c>
      <c r="AR23">
        <v>23171.02344592501</v>
      </c>
      <c r="AS23">
        <v>3964.5386200359312</v>
      </c>
      <c r="AT23">
        <v>2285.4006794364041</v>
      </c>
      <c r="AU23">
        <v>1920.648266809259</v>
      </c>
      <c r="AV23">
        <v>615.67695461259643</v>
      </c>
      <c r="AW23">
        <v>7727.1688140232463</v>
      </c>
    </row>
    <row r="24" spans="3:49" x14ac:dyDescent="0.25">
      <c r="C24">
        <v>2046</v>
      </c>
      <c r="D24">
        <v>38908.648447409229</v>
      </c>
      <c r="E24">
        <v>11900.22472508847</v>
      </c>
      <c r="F24">
        <v>15154.16668588981</v>
      </c>
      <c r="G24">
        <v>4507.276871526632</v>
      </c>
      <c r="H24">
        <v>31179.12067403231</v>
      </c>
      <c r="I24">
        <v>6940.7798947452493</v>
      </c>
      <c r="J24">
        <v>3532.2947955870959</v>
      </c>
      <c r="K24">
        <v>1559.553570908005</v>
      </c>
      <c r="L24">
        <v>1441.8067430212891</v>
      </c>
      <c r="M24">
        <v>25372.924179727619</v>
      </c>
      <c r="O24">
        <v>2046</v>
      </c>
      <c r="P24">
        <v>5869.8545715374839</v>
      </c>
      <c r="Q24">
        <v>46.414502176157022</v>
      </c>
      <c r="R24">
        <v>180.10757724106878</v>
      </c>
      <c r="S24">
        <v>425.25966382644418</v>
      </c>
      <c r="T24">
        <v>3782.480136012613</v>
      </c>
      <c r="U24">
        <v>10177.407428201859</v>
      </c>
      <c r="V24">
        <v>5801.0726055664773</v>
      </c>
      <c r="W24">
        <v>60.3897805522464</v>
      </c>
      <c r="X24">
        <v>175.22118089382963</v>
      </c>
      <c r="Y24">
        <v>1603.1821951633206</v>
      </c>
      <c r="AA24">
        <v>2046</v>
      </c>
      <c r="AB24">
        <v>46152.439107794118</v>
      </c>
      <c r="AC24">
        <v>9546.2414074546541</v>
      </c>
      <c r="AD24">
        <v>11023.216498152931</v>
      </c>
      <c r="AE24">
        <v>3938.6023397566059</v>
      </c>
      <c r="AF24">
        <v>22012.472273628762</v>
      </c>
      <c r="AG24">
        <v>3766.3116890341339</v>
      </c>
      <c r="AH24">
        <v>2171.1306454645837</v>
      </c>
      <c r="AI24">
        <v>1449.3547332539092</v>
      </c>
      <c r="AJ24">
        <v>481.23890858293487</v>
      </c>
      <c r="AK24">
        <v>901.78998477936739</v>
      </c>
      <c r="AM24">
        <v>2046</v>
      </c>
      <c r="AN24">
        <v>48742.137416058838</v>
      </c>
      <c r="AO24">
        <v>10076.67906679816</v>
      </c>
      <c r="AP24">
        <v>14320.28868910699</v>
      </c>
      <c r="AQ24">
        <v>4243.6255023493904</v>
      </c>
      <c r="AR24">
        <v>24428.696276718951</v>
      </c>
      <c r="AS24">
        <v>4065.6985396318828</v>
      </c>
      <c r="AT24">
        <v>2363.4749606435648</v>
      </c>
      <c r="AU24">
        <v>1939.3327651855309</v>
      </c>
      <c r="AV24">
        <v>623.80079280120628</v>
      </c>
      <c r="AW24">
        <v>8214.8438570653198</v>
      </c>
    </row>
    <row r="25" spans="3:49" x14ac:dyDescent="0.25">
      <c r="C25">
        <v>2047</v>
      </c>
      <c r="D25">
        <v>38338.744923123741</v>
      </c>
      <c r="E25">
        <v>11908.41130639292</v>
      </c>
      <c r="F25">
        <v>15011.86907063067</v>
      </c>
      <c r="G25">
        <v>4545.3094800253602</v>
      </c>
      <c r="H25">
        <v>31828.148188679839</v>
      </c>
      <c r="I25">
        <v>7022.7883861108348</v>
      </c>
      <c r="J25">
        <v>3571.1909435391231</v>
      </c>
      <c r="K25">
        <v>1556.7855854415161</v>
      </c>
      <c r="L25">
        <v>1447.612845473931</v>
      </c>
      <c r="M25">
        <v>26312.977455738492</v>
      </c>
      <c r="O25">
        <v>2047</v>
      </c>
      <c r="P25">
        <v>4981.2814507631319</v>
      </c>
      <c r="Q25">
        <v>46.423294026179775</v>
      </c>
      <c r="R25">
        <v>178.13814262087004</v>
      </c>
      <c r="S25">
        <v>366.42640826027582</v>
      </c>
      <c r="T25">
        <v>3157.3800636219607</v>
      </c>
      <c r="U25">
        <v>10243.898696984301</v>
      </c>
      <c r="V25">
        <v>5823.3139693918365</v>
      </c>
      <c r="W25">
        <v>60.982216729481479</v>
      </c>
      <c r="X25">
        <v>175.07821367192429</v>
      </c>
      <c r="Y25">
        <v>1655.7616025956909</v>
      </c>
      <c r="AA25">
        <v>2047</v>
      </c>
      <c r="AB25">
        <v>46305.03054525589</v>
      </c>
      <c r="AC25">
        <v>9548.0496595913846</v>
      </c>
      <c r="AD25">
        <v>10902.680180192528</v>
      </c>
      <c r="AE25">
        <v>4031.4442272319211</v>
      </c>
      <c r="AF25">
        <v>23207.261462883005</v>
      </c>
      <c r="AG25">
        <v>3862.4136126502908</v>
      </c>
      <c r="AH25">
        <v>2245.3012126113863</v>
      </c>
      <c r="AI25">
        <v>1463.5732015075514</v>
      </c>
      <c r="AJ25">
        <v>480.84625405634239</v>
      </c>
      <c r="AK25">
        <v>931.36590146007643</v>
      </c>
      <c r="AM25">
        <v>2047</v>
      </c>
      <c r="AN25">
        <v>48846.171319924943</v>
      </c>
      <c r="AO25">
        <v>10216.333184235271</v>
      </c>
      <c r="AP25">
        <v>14448.31333786006</v>
      </c>
      <c r="AQ25">
        <v>4340.7909178272694</v>
      </c>
      <c r="AR25">
        <v>25717.556755687161</v>
      </c>
      <c r="AS25">
        <v>4168.0449933895407</v>
      </c>
      <c r="AT25">
        <v>2440.035045207781</v>
      </c>
      <c r="AU25">
        <v>1953.688165291469</v>
      </c>
      <c r="AV25">
        <v>631.64686188429687</v>
      </c>
      <c r="AW25">
        <v>8723.5857569817072</v>
      </c>
    </row>
    <row r="26" spans="3:49" x14ac:dyDescent="0.25">
      <c r="C26">
        <v>2048</v>
      </c>
      <c r="D26">
        <v>37747.720977018958</v>
      </c>
      <c r="E26">
        <v>11917.2010521131</v>
      </c>
      <c r="F26">
        <v>14860.80159516958</v>
      </c>
      <c r="G26">
        <v>4580.0127466228241</v>
      </c>
      <c r="H26">
        <v>32439.679193266718</v>
      </c>
      <c r="I26">
        <v>7100.3756460975728</v>
      </c>
      <c r="J26">
        <v>3606.9520434144829</v>
      </c>
      <c r="K26">
        <v>1552.339114121831</v>
      </c>
      <c r="L26">
        <v>1451.593576563936</v>
      </c>
      <c r="M26">
        <v>27243.797701184139</v>
      </c>
      <c r="O26">
        <v>2048</v>
      </c>
      <c r="P26">
        <v>4117.0537408880582</v>
      </c>
      <c r="Q26">
        <v>46.435497706165513</v>
      </c>
      <c r="R26">
        <v>176.06597902734126</v>
      </c>
      <c r="S26">
        <v>304.86070525420553</v>
      </c>
      <c r="T26">
        <v>2474.3341225686827</v>
      </c>
      <c r="U26">
        <v>10300.259687403448</v>
      </c>
      <c r="V26">
        <v>5839.3874123514233</v>
      </c>
      <c r="W26">
        <v>61.226718848839383</v>
      </c>
      <c r="X26">
        <v>174.82990012985866</v>
      </c>
      <c r="Y26">
        <v>1707.4247763679759</v>
      </c>
      <c r="AA26">
        <v>2048</v>
      </c>
      <c r="AB26">
        <v>46403.862753928697</v>
      </c>
      <c r="AC26">
        <v>9550.5596353476903</v>
      </c>
      <c r="AD26">
        <v>10775.856488147158</v>
      </c>
      <c r="AE26">
        <v>4123.7513719359058</v>
      </c>
      <c r="AF26">
        <v>24431.678917902795</v>
      </c>
      <c r="AG26">
        <v>3959.6427437200628</v>
      </c>
      <c r="AH26">
        <v>2318.0332929473916</v>
      </c>
      <c r="AI26">
        <v>1469.441252372141</v>
      </c>
      <c r="AJ26">
        <v>480.16426950766845</v>
      </c>
      <c r="AK26">
        <v>960.42643670698646</v>
      </c>
      <c r="AM26">
        <v>2048</v>
      </c>
      <c r="AN26">
        <v>48912.175932914637</v>
      </c>
      <c r="AO26">
        <v>10351.77681663878</v>
      </c>
      <c r="AP26">
        <v>14572.76824044169</v>
      </c>
      <c r="AQ26">
        <v>4436.7382765974671</v>
      </c>
      <c r="AR26">
        <v>27035.061145900781</v>
      </c>
      <c r="AS26">
        <v>4271.2825049528346</v>
      </c>
      <c r="AT26">
        <v>2515.2107255983292</v>
      </c>
      <c r="AU26">
        <v>1962.9259421392719</v>
      </c>
      <c r="AV26">
        <v>638.98437394419307</v>
      </c>
      <c r="AW26">
        <v>9249.974512773033</v>
      </c>
    </row>
    <row r="27" spans="3:49" x14ac:dyDescent="0.25">
      <c r="C27">
        <v>2049</v>
      </c>
      <c r="D27">
        <v>37130.839735034177</v>
      </c>
      <c r="E27">
        <v>11915.006661487079</v>
      </c>
      <c r="F27">
        <v>14709.216931575311</v>
      </c>
      <c r="G27">
        <v>4610.1346463812606</v>
      </c>
      <c r="H27">
        <v>33019.746647484542</v>
      </c>
      <c r="I27">
        <v>7175.3450473116327</v>
      </c>
      <c r="J27">
        <v>3638.5978296718781</v>
      </c>
      <c r="K27">
        <v>1544.503664724042</v>
      </c>
      <c r="L27">
        <v>1452.4487339947609</v>
      </c>
      <c r="M27">
        <v>28164.2634976749</v>
      </c>
      <c r="O27">
        <v>2049</v>
      </c>
      <c r="P27">
        <v>3253.6943487983408</v>
      </c>
      <c r="Q27">
        <v>46.405672418532042</v>
      </c>
      <c r="R27">
        <v>174.00615782426596</v>
      </c>
      <c r="S27">
        <v>239.95179074605613</v>
      </c>
      <c r="T27">
        <v>1740.1043982557142</v>
      </c>
      <c r="U27">
        <v>10350.199914606692</v>
      </c>
      <c r="V27">
        <v>5846.1124070193282</v>
      </c>
      <c r="W27">
        <v>61.068038966972864</v>
      </c>
      <c r="X27">
        <v>174.3128685931479</v>
      </c>
      <c r="Y27">
        <v>1758.2167473171451</v>
      </c>
      <c r="AA27">
        <v>2049</v>
      </c>
      <c r="AB27">
        <v>46466.567136268895</v>
      </c>
      <c r="AC27">
        <v>9544.4253587219209</v>
      </c>
      <c r="AD27">
        <v>10649.78819376</v>
      </c>
      <c r="AE27">
        <v>4214.901362767594</v>
      </c>
      <c r="AF27">
        <v>25683.30808860574</v>
      </c>
      <c r="AG27">
        <v>4057.7183797051925</v>
      </c>
      <c r="AH27">
        <v>2389.4501893184129</v>
      </c>
      <c r="AI27">
        <v>1465.6329352073444</v>
      </c>
      <c r="AJ27">
        <v>478.74426028754772</v>
      </c>
      <c r="AK27">
        <v>988.99692036589408</v>
      </c>
      <c r="AM27">
        <v>2049</v>
      </c>
      <c r="AN27">
        <v>48953.222251523192</v>
      </c>
      <c r="AO27">
        <v>10480.93265225186</v>
      </c>
      <c r="AP27">
        <v>14696.5657492091</v>
      </c>
      <c r="AQ27">
        <v>4531.0093538553019</v>
      </c>
      <c r="AR27">
        <v>28379.697678726399</v>
      </c>
      <c r="AS27">
        <v>4375.7837291114274</v>
      </c>
      <c r="AT27">
        <v>2589.0062502888941</v>
      </c>
      <c r="AU27">
        <v>1966.501588752024</v>
      </c>
      <c r="AV27">
        <v>645.51389978270117</v>
      </c>
      <c r="AW27">
        <v>9792.0062046110452</v>
      </c>
    </row>
    <row r="28" spans="3:49" x14ac:dyDescent="0.25">
      <c r="C28">
        <v>2050</v>
      </c>
      <c r="D28">
        <v>36525.695767777906</v>
      </c>
      <c r="E28">
        <v>11918.983304135139</v>
      </c>
      <c r="F28">
        <v>14568.388187149139</v>
      </c>
      <c r="G28">
        <v>4639.8437972143847</v>
      </c>
      <c r="H28">
        <v>33570.01126889688</v>
      </c>
      <c r="I28">
        <v>7254.9833807317118</v>
      </c>
      <c r="J28">
        <v>3667.5231334839618</v>
      </c>
      <c r="K28">
        <v>1533.4625222516479</v>
      </c>
      <c r="L28">
        <v>1451.8313090931069</v>
      </c>
      <c r="M28">
        <v>29054.198622974789</v>
      </c>
      <c r="O28">
        <v>2050</v>
      </c>
      <c r="P28">
        <v>2429.2095396302961</v>
      </c>
      <c r="Q28">
        <v>46.400995618881609</v>
      </c>
      <c r="R28">
        <v>172.10517982590346</v>
      </c>
      <c r="S28">
        <v>176.21491380038378</v>
      </c>
      <c r="T28">
        <v>956.90818583215082</v>
      </c>
      <c r="U28">
        <v>10408.178050045633</v>
      </c>
      <c r="V28">
        <v>5846.1739068666684</v>
      </c>
      <c r="W28">
        <v>60.532415933150737</v>
      </c>
      <c r="X28">
        <v>173.64091031377686</v>
      </c>
      <c r="Y28">
        <v>1806.9561454616241</v>
      </c>
      <c r="AA28">
        <v>2050</v>
      </c>
      <c r="AB28">
        <v>46505.561138947036</v>
      </c>
      <c r="AC28">
        <v>9543.4634641332887</v>
      </c>
      <c r="AD28">
        <v>10533.441661564259</v>
      </c>
      <c r="AE28">
        <v>4304.4588861625371</v>
      </c>
      <c r="AF28">
        <v>26960.712794790077</v>
      </c>
      <c r="AG28">
        <v>4156.9945426558552</v>
      </c>
      <c r="AH28">
        <v>2459.5559377744494</v>
      </c>
      <c r="AI28">
        <v>1452.7779823956132</v>
      </c>
      <c r="AJ28">
        <v>476.89875013102306</v>
      </c>
      <c r="AK28">
        <v>1016.4128318221642</v>
      </c>
      <c r="AM28">
        <v>2050</v>
      </c>
      <c r="AN28">
        <v>48982.601434652643</v>
      </c>
      <c r="AO28">
        <v>10606.497571546121</v>
      </c>
      <c r="AP28">
        <v>14822.336157581391</v>
      </c>
      <c r="AQ28">
        <v>4623.8941442899941</v>
      </c>
      <c r="AR28">
        <v>29749.82842314064</v>
      </c>
      <c r="AS28">
        <v>4482.8423978850224</v>
      </c>
      <c r="AT28">
        <v>2661.755281517856</v>
      </c>
      <c r="AU28">
        <v>1964.622819770253</v>
      </c>
      <c r="AV28">
        <v>651.31749392863753</v>
      </c>
      <c r="AW28">
        <v>10347.283034220831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4D29-3D0B-4159-95BC-BC1D39185047}">
  <dimension ref="A1:AW28"/>
  <sheetViews>
    <sheetView workbookViewId="0">
      <selection activeCell="N29" sqref="N29:AX29"/>
    </sheetView>
  </sheetViews>
  <sheetFormatPr defaultRowHeight="15" x14ac:dyDescent="0.25"/>
  <cols>
    <col min="3" max="3" width="14" customWidth="1"/>
    <col min="5" max="5" width="13.140625" customWidth="1"/>
    <col min="6" max="6" width="10" customWidth="1"/>
    <col min="7" max="7" width="13.5703125" customWidth="1"/>
    <col min="8" max="8" width="10" customWidth="1"/>
    <col min="9" max="9" width="18.140625" customWidth="1"/>
    <col min="10" max="10" width="11.85546875" customWidth="1"/>
    <col min="11" max="11" width="7" customWidth="1"/>
    <col min="12" max="12" width="8" customWidth="1"/>
    <col min="13" max="13" width="13.85546875" customWidth="1"/>
    <col min="15" max="15" width="18.5703125" customWidth="1"/>
    <col min="17" max="17" width="12.7109375" customWidth="1"/>
    <col min="19" max="19" width="13.140625" customWidth="1"/>
    <col min="20" max="20" width="10.7109375" customWidth="1"/>
    <col min="21" max="21" width="18.7109375" customWidth="1"/>
    <col min="22" max="22" width="13" customWidth="1"/>
    <col min="25" max="25" width="12.7109375" customWidth="1"/>
    <col min="27" max="27" width="19.42578125" customWidth="1"/>
    <col min="29" max="29" width="14.28515625" customWidth="1"/>
    <col min="31" max="31" width="13" customWidth="1"/>
    <col min="32" max="32" width="11" customWidth="1"/>
    <col min="33" max="33" width="19.42578125" customWidth="1"/>
    <col min="34" max="34" width="11.140625" customWidth="1"/>
    <col min="37" max="37" width="13" customWidth="1"/>
    <col min="39" max="39" width="10.42578125" customWidth="1"/>
    <col min="41" max="41" width="13.42578125" customWidth="1"/>
    <col min="43" max="43" width="14.42578125" customWidth="1"/>
    <col min="44" max="44" width="10.28515625" customWidth="1"/>
    <col min="45" max="45" width="14.140625" customWidth="1"/>
    <col min="46" max="46" width="11.5703125" customWidth="1"/>
    <col min="49" max="49" width="13.85546875" customWidth="1"/>
  </cols>
  <sheetData>
    <row r="1" spans="1:49" x14ac:dyDescent="0.25">
      <c r="C1" s="1" t="s">
        <v>10</v>
      </c>
      <c r="D1" t="s">
        <v>0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</v>
      </c>
      <c r="L1" t="s">
        <v>8</v>
      </c>
      <c r="M1" t="s">
        <v>9</v>
      </c>
      <c r="O1" s="1" t="s">
        <v>11</v>
      </c>
      <c r="P1" t="s">
        <v>0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1</v>
      </c>
      <c r="X1" t="s">
        <v>8</v>
      </c>
      <c r="Y1" t="s">
        <v>9</v>
      </c>
      <c r="AA1" s="1" t="s">
        <v>12</v>
      </c>
      <c r="AB1" t="s">
        <v>0</v>
      </c>
      <c r="AC1" t="s">
        <v>2</v>
      </c>
      <c r="AD1" t="s">
        <v>3</v>
      </c>
      <c r="AE1" t="s">
        <v>4</v>
      </c>
      <c r="AF1" t="s">
        <v>5</v>
      </c>
      <c r="AG1" t="s">
        <v>6</v>
      </c>
      <c r="AH1" t="s">
        <v>7</v>
      </c>
      <c r="AI1" t="s">
        <v>1</v>
      </c>
      <c r="AJ1" t="s">
        <v>8</v>
      </c>
      <c r="AK1" t="s">
        <v>9</v>
      </c>
      <c r="AM1" s="1" t="s">
        <v>13</v>
      </c>
      <c r="AN1" t="s">
        <v>0</v>
      </c>
      <c r="AO1" t="s">
        <v>2</v>
      </c>
      <c r="AP1" t="s">
        <v>3</v>
      </c>
      <c r="AQ1" t="s">
        <v>4</v>
      </c>
      <c r="AR1" t="s">
        <v>5</v>
      </c>
      <c r="AS1" t="s">
        <v>6</v>
      </c>
      <c r="AT1" t="s">
        <v>7</v>
      </c>
      <c r="AU1" t="s">
        <v>1</v>
      </c>
      <c r="AV1" t="s">
        <v>8</v>
      </c>
      <c r="AW1" t="s">
        <v>9</v>
      </c>
    </row>
    <row r="2" spans="1:49" x14ac:dyDescent="0.25">
      <c r="A2" s="2" t="s">
        <v>15</v>
      </c>
      <c r="C2">
        <v>2024</v>
      </c>
      <c r="D2">
        <v>52063.346219843479</v>
      </c>
      <c r="E2">
        <v>12091.97664009119</v>
      </c>
      <c r="F2">
        <v>19675.334033557621</v>
      </c>
      <c r="G2">
        <v>3206.1493416748058</v>
      </c>
      <c r="H2">
        <v>12335.054035392899</v>
      </c>
      <c r="I2">
        <v>4675.8185423877494</v>
      </c>
      <c r="J2">
        <v>2377.6877615141061</v>
      </c>
      <c r="K2">
        <v>2168.6251158609712</v>
      </c>
      <c r="L2">
        <v>1277.6313758039</v>
      </c>
      <c r="M2">
        <v>7513.8260001502395</v>
      </c>
      <c r="O2">
        <v>2024</v>
      </c>
      <c r="P2">
        <v>47590.729010287694</v>
      </c>
      <c r="Q2">
        <v>3022.5071228175175</v>
      </c>
      <c r="R2">
        <v>4341.2140961793166</v>
      </c>
      <c r="S2">
        <v>1146.2752663283266</v>
      </c>
      <c r="T2">
        <v>5338.3826075459929</v>
      </c>
      <c r="U2">
        <v>7522.9687984459133</v>
      </c>
      <c r="V2">
        <v>4631.2701539432546</v>
      </c>
      <c r="W2">
        <v>83.016619930723976</v>
      </c>
      <c r="X2">
        <v>130.30303831261577</v>
      </c>
      <c r="Y2">
        <v>416.50110350583964</v>
      </c>
      <c r="AA2">
        <v>2024</v>
      </c>
      <c r="AB2">
        <v>20899.863713578612</v>
      </c>
      <c r="AC2">
        <v>6903.0847179370821</v>
      </c>
      <c r="AD2">
        <v>10184.143045590978</v>
      </c>
      <c r="AE2">
        <v>1988.6997758589903</v>
      </c>
      <c r="AF2">
        <v>4748.8629558020266</v>
      </c>
      <c r="AG2">
        <v>1840.6123761563545</v>
      </c>
      <c r="AH2">
        <v>695.33408019355977</v>
      </c>
      <c r="AI2">
        <v>1992.3988783373688</v>
      </c>
      <c r="AJ2">
        <v>357.87278468690994</v>
      </c>
      <c r="AK2">
        <v>234.28187072203485</v>
      </c>
      <c r="AM2">
        <v>2024</v>
      </c>
      <c r="AN2">
        <v>21700.116289334292</v>
      </c>
      <c r="AO2">
        <v>7052.112260252391</v>
      </c>
      <c r="AP2">
        <v>9306.193389398808</v>
      </c>
      <c r="AQ2">
        <v>2156.4622556809718</v>
      </c>
      <c r="AR2">
        <v>5321.6410180583998</v>
      </c>
      <c r="AS2">
        <v>2186.9318954459568</v>
      </c>
      <c r="AT2">
        <v>938.8731102830925</v>
      </c>
      <c r="AU2">
        <v>1909.9176065504671</v>
      </c>
      <c r="AV2">
        <v>363.34277751356791</v>
      </c>
      <c r="AW2">
        <v>1521.85860557879</v>
      </c>
    </row>
    <row r="3" spans="1:49" x14ac:dyDescent="0.25">
      <c r="C3">
        <v>2025</v>
      </c>
      <c r="D3">
        <v>48200.894822768008</v>
      </c>
      <c r="E3">
        <v>11192.628140671841</v>
      </c>
      <c r="F3">
        <v>15259.660081977339</v>
      </c>
      <c r="G3">
        <v>3252.4652614072852</v>
      </c>
      <c r="H3">
        <v>13252.819027106299</v>
      </c>
      <c r="I3">
        <v>6480.9843842030596</v>
      </c>
      <c r="J3">
        <v>2975.9396638984208</v>
      </c>
      <c r="K3">
        <v>2065.2230731334598</v>
      </c>
      <c r="L3">
        <v>1435.2493299468069</v>
      </c>
      <c r="M3">
        <v>7574.5252914891453</v>
      </c>
      <c r="O3">
        <v>2025</v>
      </c>
      <c r="P3">
        <v>43064.537739266991</v>
      </c>
      <c r="Q3">
        <v>2198.5913496699031</v>
      </c>
      <c r="R3">
        <v>2184.7139148068186</v>
      </c>
      <c r="S3">
        <v>1157.7267997870799</v>
      </c>
      <c r="T3">
        <v>5702.8687061553128</v>
      </c>
      <c r="U3">
        <v>11153.801871892538</v>
      </c>
      <c r="V3">
        <v>5759.5550620650056</v>
      </c>
      <c r="W3">
        <v>108.87416306440068</v>
      </c>
      <c r="X3">
        <v>159.84879190809181</v>
      </c>
      <c r="Y3">
        <v>576.20588876588261</v>
      </c>
      <c r="AA3">
        <v>2025</v>
      </c>
      <c r="AB3">
        <v>20615.110474867575</v>
      </c>
      <c r="AC3">
        <v>6981.5911376498671</v>
      </c>
      <c r="AD3">
        <v>9213.1314555048193</v>
      </c>
      <c r="AE3">
        <v>2048.6391428969227</v>
      </c>
      <c r="AF3">
        <v>5055.5589671554799</v>
      </c>
      <c r="AG3">
        <v>2077.5853006736584</v>
      </c>
      <c r="AH3">
        <v>891.92945476893772</v>
      </c>
      <c r="AI3">
        <v>2612.9799135456078</v>
      </c>
      <c r="AJ3">
        <v>439.01917430154509</v>
      </c>
      <c r="AK3">
        <v>324.11581243080894</v>
      </c>
      <c r="AM3">
        <v>2025</v>
      </c>
      <c r="AN3">
        <v>22829.371740905561</v>
      </c>
      <c r="AO3">
        <v>6972.7049490444924</v>
      </c>
      <c r="AP3">
        <v>9121.6111347158749</v>
      </c>
      <c r="AQ3">
        <v>2236.3315176033111</v>
      </c>
      <c r="AR3">
        <v>5693.2307093295021</v>
      </c>
      <c r="AS3">
        <v>2491.745474161904</v>
      </c>
      <c r="AT3">
        <v>1061.84313957061</v>
      </c>
      <c r="AU3">
        <v>2138.8975817956662</v>
      </c>
      <c r="AV3">
        <v>410.49060143868718</v>
      </c>
      <c r="AW3">
        <v>1825.841551135725</v>
      </c>
    </row>
    <row r="4" spans="1:49" x14ac:dyDescent="0.25">
      <c r="C4">
        <v>2026</v>
      </c>
      <c r="D4">
        <v>47468.951178301599</v>
      </c>
      <c r="E4">
        <v>11194.257481738739</v>
      </c>
      <c r="F4">
        <v>15262.59026911625</v>
      </c>
      <c r="G4">
        <v>3340.540380335895</v>
      </c>
      <c r="H4">
        <v>14089.728762915151</v>
      </c>
      <c r="I4">
        <v>6391.4907765369508</v>
      </c>
      <c r="J4">
        <v>2950.498806911457</v>
      </c>
      <c r="K4">
        <v>1996.2513685704689</v>
      </c>
      <c r="L4">
        <v>1426.7051498590661</v>
      </c>
      <c r="M4">
        <v>8456.0144795055003</v>
      </c>
      <c r="O4">
        <v>2026</v>
      </c>
      <c r="P4">
        <v>41035.292024532187</v>
      </c>
      <c r="Q4">
        <v>2267.7186150261541</v>
      </c>
      <c r="R4">
        <v>2359.102887150952</v>
      </c>
      <c r="S4">
        <v>1163.3323306936159</v>
      </c>
      <c r="T4">
        <v>6040.6585211836455</v>
      </c>
      <c r="U4">
        <v>10657.094386002416</v>
      </c>
      <c r="V4">
        <v>5600.1003222922382</v>
      </c>
      <c r="W4">
        <v>99.961381585108015</v>
      </c>
      <c r="X4">
        <v>163.38689567390648</v>
      </c>
      <c r="Y4">
        <v>617.57323398747019</v>
      </c>
      <c r="AA4">
        <v>2026</v>
      </c>
      <c r="AB4">
        <v>21687.903153860279</v>
      </c>
      <c r="AC4">
        <v>6902.9778995540464</v>
      </c>
      <c r="AD4">
        <v>9030.3950233687192</v>
      </c>
      <c r="AE4">
        <v>2124.5149417231451</v>
      </c>
      <c r="AF4">
        <v>5408.5691738630303</v>
      </c>
      <c r="AG4">
        <v>2367.1582004538086</v>
      </c>
      <c r="AH4">
        <v>1008.7509825920795</v>
      </c>
      <c r="AI4">
        <v>2399.0731580425845</v>
      </c>
      <c r="AJ4">
        <v>448.73645383378135</v>
      </c>
      <c r="AK4">
        <v>347.38494411795193</v>
      </c>
      <c r="AM4">
        <v>2026</v>
      </c>
      <c r="AN4">
        <v>24441.707688745941</v>
      </c>
      <c r="AO4">
        <v>7012.0014289028313</v>
      </c>
      <c r="AP4">
        <v>9179.5743715424233</v>
      </c>
      <c r="AQ4">
        <v>2323.7741079695852</v>
      </c>
      <c r="AR4">
        <v>6121.2185631928141</v>
      </c>
      <c r="AS4">
        <v>2521.0577447488122</v>
      </c>
      <c r="AT4">
        <v>1091.195211351544</v>
      </c>
      <c r="AU4">
        <v>2054.7249345669388</v>
      </c>
      <c r="AV4">
        <v>425.2220938293575</v>
      </c>
      <c r="AW4">
        <v>2054.280318888962</v>
      </c>
    </row>
    <row r="5" spans="1:49" x14ac:dyDescent="0.25">
      <c r="C5">
        <v>2027</v>
      </c>
      <c r="D5">
        <v>46649.535811098227</v>
      </c>
      <c r="E5">
        <v>11208.21975186587</v>
      </c>
      <c r="F5">
        <v>15200.774969599839</v>
      </c>
      <c r="G5">
        <v>3424.691484682628</v>
      </c>
      <c r="H5">
        <v>14948.8691336595</v>
      </c>
      <c r="I5">
        <v>6338.9365386474092</v>
      </c>
      <c r="J5">
        <v>2927.7973271728019</v>
      </c>
      <c r="K5">
        <v>1933.70469258971</v>
      </c>
      <c r="L5">
        <v>1420.9384661500201</v>
      </c>
      <c r="M5">
        <v>9321.8528914337967</v>
      </c>
      <c r="O5">
        <v>2027</v>
      </c>
      <c r="P5">
        <v>38429.185828397531</v>
      </c>
      <c r="Q5">
        <v>2230.073300657285</v>
      </c>
      <c r="R5">
        <v>2246.770563101099</v>
      </c>
      <c r="S5">
        <v>1158.2604465039319</v>
      </c>
      <c r="T5">
        <v>6343.1756862426373</v>
      </c>
      <c r="U5">
        <v>10501.801523351422</v>
      </c>
      <c r="V5">
        <v>5536.1366286887296</v>
      </c>
      <c r="W5">
        <v>92.064233453934563</v>
      </c>
      <c r="X5">
        <v>166.35382946243243</v>
      </c>
      <c r="Y5">
        <v>659.50430729520667</v>
      </c>
      <c r="AA5">
        <v>2027</v>
      </c>
      <c r="AB5">
        <v>23219.622304308643</v>
      </c>
      <c r="AC5">
        <v>6941.8814146138029</v>
      </c>
      <c r="AD5">
        <v>9087.7786278270014</v>
      </c>
      <c r="AE5">
        <v>2207.5854025711055</v>
      </c>
      <c r="AF5">
        <v>5815.1576350331725</v>
      </c>
      <c r="AG5">
        <v>2395.0048575113706</v>
      </c>
      <c r="AH5">
        <v>1036.6354507839669</v>
      </c>
      <c r="AI5">
        <v>2209.5416028944223</v>
      </c>
      <c r="AJ5">
        <v>456.88503479268485</v>
      </c>
      <c r="AK5">
        <v>370.97117285355375</v>
      </c>
      <c r="AM5">
        <v>2027</v>
      </c>
      <c r="AN5">
        <v>26078.035490631901</v>
      </c>
      <c r="AO5">
        <v>7059.3871707408616</v>
      </c>
      <c r="AP5">
        <v>9245.6899971857329</v>
      </c>
      <c r="AQ5">
        <v>2406.7688567640348</v>
      </c>
      <c r="AR5">
        <v>6563.7095686923612</v>
      </c>
      <c r="AS5">
        <v>2549.4744698246632</v>
      </c>
      <c r="AT5">
        <v>1116.754588753003</v>
      </c>
      <c r="AU5">
        <v>1980.2610029884499</v>
      </c>
      <c r="AV5">
        <v>437.66138135052211</v>
      </c>
      <c r="AW5">
        <v>2276.0771223694942</v>
      </c>
    </row>
    <row r="6" spans="1:49" x14ac:dyDescent="0.25">
      <c r="C6">
        <v>2028</v>
      </c>
      <c r="D6">
        <v>45737.022639563787</v>
      </c>
      <c r="E6">
        <v>11247.258815629581</v>
      </c>
      <c r="F6">
        <v>15310.1311451536</v>
      </c>
      <c r="G6">
        <v>3503.2678938627669</v>
      </c>
      <c r="H6">
        <v>15829.932837035311</v>
      </c>
      <c r="I6">
        <v>6265.3784411795541</v>
      </c>
      <c r="J6">
        <v>2906.0794425811891</v>
      </c>
      <c r="K6">
        <v>1878.1322235001589</v>
      </c>
      <c r="L6">
        <v>1414.768025755398</v>
      </c>
      <c r="M6">
        <v>10176.999304535921</v>
      </c>
      <c r="O6">
        <v>2028</v>
      </c>
      <c r="P6">
        <v>35677.542006783238</v>
      </c>
      <c r="Q6">
        <v>2205.2676979156568</v>
      </c>
      <c r="R6">
        <v>2250.8004554971571</v>
      </c>
      <c r="S6">
        <v>1152.2782261348138</v>
      </c>
      <c r="T6">
        <v>6650.5042527715868</v>
      </c>
      <c r="U6">
        <v>10309.380964380343</v>
      </c>
      <c r="V6">
        <v>5478.3320143180372</v>
      </c>
      <c r="W6">
        <v>85.09731011575272</v>
      </c>
      <c r="X6">
        <v>168.51261023575611</v>
      </c>
      <c r="Y6">
        <v>702.03763018642007</v>
      </c>
      <c r="AA6">
        <v>2028</v>
      </c>
      <c r="AB6">
        <v>24774.133716100307</v>
      </c>
      <c r="AC6">
        <v>6988.7932990334521</v>
      </c>
      <c r="AD6">
        <v>9153.2330972138679</v>
      </c>
      <c r="AE6">
        <v>2286.4304139258329</v>
      </c>
      <c r="AF6">
        <v>6235.5240902577452</v>
      </c>
      <c r="AG6">
        <v>2422.0007463334291</v>
      </c>
      <c r="AH6">
        <v>1060.9168593153527</v>
      </c>
      <c r="AI6">
        <v>2042.3354427780587</v>
      </c>
      <c r="AJ6">
        <v>462.81405146706498</v>
      </c>
      <c r="AK6">
        <v>394.89616697986133</v>
      </c>
      <c r="AM6">
        <v>2028</v>
      </c>
      <c r="AN6">
        <v>27703.234827963221</v>
      </c>
      <c r="AO6">
        <v>7116.9601191958855</v>
      </c>
      <c r="AP6">
        <v>9339.5538964528077</v>
      </c>
      <c r="AQ6">
        <v>2486.2014146997822</v>
      </c>
      <c r="AR6">
        <v>7022.2605194124026</v>
      </c>
      <c r="AS6">
        <v>2570.0424296874571</v>
      </c>
      <c r="AT6">
        <v>1138.3676850711399</v>
      </c>
      <c r="AU6">
        <v>1914.7853816115421</v>
      </c>
      <c r="AV6">
        <v>447.61835369995998</v>
      </c>
      <c r="AW6">
        <v>2493.1203307904229</v>
      </c>
    </row>
    <row r="7" spans="1:49" x14ac:dyDescent="0.25">
      <c r="C7">
        <v>2029</v>
      </c>
      <c r="D7">
        <v>44889.23193620341</v>
      </c>
      <c r="E7">
        <v>11279.09257565742</v>
      </c>
      <c r="F7">
        <v>15390.899332683501</v>
      </c>
      <c r="G7">
        <v>3577.822575381866</v>
      </c>
      <c r="H7">
        <v>16726.541064223311</v>
      </c>
      <c r="I7">
        <v>6202.5440168169389</v>
      </c>
      <c r="J7">
        <v>2884.5642635271352</v>
      </c>
      <c r="K7">
        <v>1828.288912195995</v>
      </c>
      <c r="L7">
        <v>1403.2858576647679</v>
      </c>
      <c r="M7">
        <v>11037.04150173712</v>
      </c>
      <c r="O7">
        <v>2029</v>
      </c>
      <c r="P7">
        <v>33025.363709404402</v>
      </c>
      <c r="Q7">
        <v>2164.9199751059814</v>
      </c>
      <c r="R7">
        <v>2206.7749062216267</v>
      </c>
      <c r="S7">
        <v>1146.0117280466932</v>
      </c>
      <c r="T7">
        <v>6956.4710410620346</v>
      </c>
      <c r="U7">
        <v>10149.956009268013</v>
      </c>
      <c r="V7">
        <v>5424.9251084714142</v>
      </c>
      <c r="W7">
        <v>78.940697023252284</v>
      </c>
      <c r="X7">
        <v>169.538146690226</v>
      </c>
      <c r="Y7">
        <v>746.06693324405774</v>
      </c>
      <c r="AA7">
        <v>2029</v>
      </c>
      <c r="AB7">
        <v>26318.073086565058</v>
      </c>
      <c r="AC7">
        <v>7045.7905180039279</v>
      </c>
      <c r="AD7">
        <v>9246.1583574882879</v>
      </c>
      <c r="AE7">
        <v>2361.8913439647927</v>
      </c>
      <c r="AF7">
        <v>6671.147493441782</v>
      </c>
      <c r="AG7">
        <v>2441.5403082030839</v>
      </c>
      <c r="AH7">
        <v>1081.449300817583</v>
      </c>
      <c r="AI7">
        <v>1894.5767285580487</v>
      </c>
      <c r="AJ7">
        <v>465.63065184347812</v>
      </c>
      <c r="AK7">
        <v>419.66264994978246</v>
      </c>
      <c r="AM7">
        <v>2029</v>
      </c>
      <c r="AN7">
        <v>29294.10843854618</v>
      </c>
      <c r="AO7">
        <v>7178.6977139404626</v>
      </c>
      <c r="AP7">
        <v>9451.1001742097233</v>
      </c>
      <c r="AQ7">
        <v>2563.2018643492361</v>
      </c>
      <c r="AR7">
        <v>7495.917058351708</v>
      </c>
      <c r="AS7">
        <v>2587.908011252202</v>
      </c>
      <c r="AT7">
        <v>1156.635681786428</v>
      </c>
      <c r="AU7">
        <v>1857.1983662438799</v>
      </c>
      <c r="AV7">
        <v>454.86797317274181</v>
      </c>
      <c r="AW7">
        <v>2708.9982965097061</v>
      </c>
    </row>
    <row r="8" spans="1:49" x14ac:dyDescent="0.25">
      <c r="C8">
        <v>2030</v>
      </c>
      <c r="D8">
        <v>44135.866681814347</v>
      </c>
      <c r="E8">
        <v>11302.385190930299</v>
      </c>
      <c r="F8">
        <v>15466.102495403429</v>
      </c>
      <c r="G8">
        <v>3650.213510571014</v>
      </c>
      <c r="H8">
        <v>17639.04682295247</v>
      </c>
      <c r="I8">
        <v>6149.9622106940133</v>
      </c>
      <c r="J8">
        <v>2863.1384109816331</v>
      </c>
      <c r="K8">
        <v>1782.1900964015949</v>
      </c>
      <c r="L8">
        <v>1393.7684445516879</v>
      </c>
      <c r="M8">
        <v>11897.812546892441</v>
      </c>
      <c r="O8">
        <v>2030</v>
      </c>
      <c r="P8">
        <v>30537.653252739008</v>
      </c>
      <c r="Q8">
        <v>2113.7407616541764</v>
      </c>
      <c r="R8">
        <v>2141.4357425819835</v>
      </c>
      <c r="S8">
        <v>1140.1717815262868</v>
      </c>
      <c r="T8">
        <v>7262.697273268036</v>
      </c>
      <c r="U8">
        <v>10017.22313701826</v>
      </c>
      <c r="V8">
        <v>5374.6028389260046</v>
      </c>
      <c r="W8">
        <v>73.470768209118575</v>
      </c>
      <c r="X8">
        <v>170.21459084985088</v>
      </c>
      <c r="Y8">
        <v>791.51125813216481</v>
      </c>
      <c r="AA8">
        <v>2030</v>
      </c>
      <c r="AB8">
        <v>27829.403016618868</v>
      </c>
      <c r="AC8">
        <v>7106.9107368010573</v>
      </c>
      <c r="AD8">
        <v>9356.5891724676276</v>
      </c>
      <c r="AE8">
        <v>2435.0417711317746</v>
      </c>
      <c r="AF8">
        <v>7121.1212054341213</v>
      </c>
      <c r="AG8">
        <v>2458.5126106895923</v>
      </c>
      <c r="AH8">
        <v>1098.8038976971065</v>
      </c>
      <c r="AI8">
        <v>1763.2984370188403</v>
      </c>
      <c r="AJ8">
        <v>467.48848231485505</v>
      </c>
      <c r="AK8">
        <v>445.22508269934264</v>
      </c>
      <c r="AM8">
        <v>2030</v>
      </c>
      <c r="AN8">
        <v>30807.690574273998</v>
      </c>
      <c r="AO8">
        <v>7243.0487795983381</v>
      </c>
      <c r="AP8">
        <v>9579.1271488443217</v>
      </c>
      <c r="AQ8">
        <v>2638.5240804427031</v>
      </c>
      <c r="AR8">
        <v>7983.3042101088358</v>
      </c>
      <c r="AS8">
        <v>2604.4530697538562</v>
      </c>
      <c r="AT8">
        <v>1172.6422939000411</v>
      </c>
      <c r="AU8">
        <v>1806.315851960979</v>
      </c>
      <c r="AV8">
        <v>460.68171300637653</v>
      </c>
      <c r="AW8">
        <v>2924.550752128001</v>
      </c>
    </row>
    <row r="9" spans="1:49" x14ac:dyDescent="0.25">
      <c r="C9">
        <v>2031</v>
      </c>
      <c r="D9">
        <v>43444.863216542974</v>
      </c>
      <c r="E9">
        <v>11334.552709794491</v>
      </c>
      <c r="F9">
        <v>15532.578787405941</v>
      </c>
      <c r="G9">
        <v>3718.70640098177</v>
      </c>
      <c r="H9">
        <v>18558.31412126945</v>
      </c>
      <c r="I9">
        <v>6109.7920042426103</v>
      </c>
      <c r="J9">
        <v>2851.1615278340678</v>
      </c>
      <c r="K9">
        <v>1739.1755701018189</v>
      </c>
      <c r="L9">
        <v>1382.6301282271299</v>
      </c>
      <c r="M9">
        <v>12754.673527132039</v>
      </c>
      <c r="O9">
        <v>2031</v>
      </c>
      <c r="P9">
        <v>28215.524256609857</v>
      </c>
      <c r="Q9">
        <v>2067.3029720618624</v>
      </c>
      <c r="R9">
        <v>2053.9448214166591</v>
      </c>
      <c r="S9">
        <v>1132.3454309999101</v>
      </c>
      <c r="T9">
        <v>7563.2901303067565</v>
      </c>
      <c r="U9">
        <v>9913.7348104857138</v>
      </c>
      <c r="V9">
        <v>5346.8666488556319</v>
      </c>
      <c r="W9">
        <v>68.618214188037101</v>
      </c>
      <c r="X9">
        <v>170.35971303156458</v>
      </c>
      <c r="Y9">
        <v>838.34806214157652</v>
      </c>
      <c r="AA9">
        <v>2031</v>
      </c>
      <c r="AB9">
        <v>29267.306045560297</v>
      </c>
      <c r="AC9">
        <v>7170.6182918023542</v>
      </c>
      <c r="AD9">
        <v>9483.3358773558793</v>
      </c>
      <c r="AE9">
        <v>2506.5978764205674</v>
      </c>
      <c r="AF9">
        <v>7584.1389996033913</v>
      </c>
      <c r="AG9">
        <v>2474.2304162661626</v>
      </c>
      <c r="AH9">
        <v>1114.0101792050391</v>
      </c>
      <c r="AI9">
        <v>1646.8371405128858</v>
      </c>
      <c r="AJ9">
        <v>467.8870553639739</v>
      </c>
      <c r="AK9">
        <v>471.57078495463685</v>
      </c>
      <c r="AM9">
        <v>2031</v>
      </c>
      <c r="AN9">
        <v>32196.812686675948</v>
      </c>
      <c r="AO9">
        <v>7311.5940388492099</v>
      </c>
      <c r="AP9">
        <v>9718.8778090242322</v>
      </c>
      <c r="AQ9">
        <v>2712.0020513017689</v>
      </c>
      <c r="AR9">
        <v>8479.9887190421923</v>
      </c>
      <c r="AS9">
        <v>2621.417857163804</v>
      </c>
      <c r="AT9">
        <v>1189.254713708812</v>
      </c>
      <c r="AU9">
        <v>1761.412766238218</v>
      </c>
      <c r="AV9">
        <v>465.04543577876871</v>
      </c>
      <c r="AW9">
        <v>3138.9896324621091</v>
      </c>
    </row>
    <row r="10" spans="1:49" x14ac:dyDescent="0.25">
      <c r="C10">
        <v>2032</v>
      </c>
      <c r="D10">
        <v>42792.611520522543</v>
      </c>
      <c r="E10">
        <v>11363.108828901581</v>
      </c>
      <c r="F10">
        <v>15600.78462174679</v>
      </c>
      <c r="G10">
        <v>3782.8694786933829</v>
      </c>
      <c r="H10">
        <v>19472.002477838909</v>
      </c>
      <c r="I10">
        <v>6086.5912343581576</v>
      </c>
      <c r="J10">
        <v>2851.3086654012081</v>
      </c>
      <c r="K10">
        <v>1700.380111675503</v>
      </c>
      <c r="L10">
        <v>1369.9284302332201</v>
      </c>
      <c r="M10">
        <v>13601.03353876053</v>
      </c>
      <c r="O10">
        <v>2032</v>
      </c>
      <c r="P10">
        <v>26072.882906603725</v>
      </c>
      <c r="Q10">
        <v>2013.9878371044535</v>
      </c>
      <c r="R10">
        <v>1957.0158497179621</v>
      </c>
      <c r="S10">
        <v>1122.3287691793921</v>
      </c>
      <c r="T10">
        <v>7852.4032026568275</v>
      </c>
      <c r="U10">
        <v>9846.5293206228616</v>
      </c>
      <c r="V10">
        <v>5344.1712901969458</v>
      </c>
      <c r="W10">
        <v>64.380273912041105</v>
      </c>
      <c r="X10">
        <v>170.10608742087877</v>
      </c>
      <c r="Y10">
        <v>886.46298721516439</v>
      </c>
      <c r="AA10">
        <v>2032</v>
      </c>
      <c r="AB10">
        <v>30586.972052342153</v>
      </c>
      <c r="AC10">
        <v>7238.4780984607178</v>
      </c>
      <c r="AD10">
        <v>9621.6890309339906</v>
      </c>
      <c r="AE10">
        <v>2576.4019487366809</v>
      </c>
      <c r="AF10">
        <v>8055.9892830900835</v>
      </c>
      <c r="AG10">
        <v>2490.3469643056142</v>
      </c>
      <c r="AH10">
        <v>1129.7919780233713</v>
      </c>
      <c r="AI10">
        <v>1545.1265738889822</v>
      </c>
      <c r="AJ10">
        <v>467.19048140269518</v>
      </c>
      <c r="AK10">
        <v>498.63543030852998</v>
      </c>
      <c r="AM10">
        <v>2032</v>
      </c>
      <c r="AN10">
        <v>33427.042887270392</v>
      </c>
      <c r="AO10">
        <v>7381.0188446983248</v>
      </c>
      <c r="AP10">
        <v>9864.6414179612548</v>
      </c>
      <c r="AQ10">
        <v>2783.0987444988582</v>
      </c>
      <c r="AR10">
        <v>8980.1149137840875</v>
      </c>
      <c r="AS10">
        <v>2640.6460264954012</v>
      </c>
      <c r="AT10">
        <v>1208.4003642974169</v>
      </c>
      <c r="AU10">
        <v>1722.4003343179411</v>
      </c>
      <c r="AV10">
        <v>468.35439276079347</v>
      </c>
      <c r="AW10">
        <v>3349.9274638410479</v>
      </c>
    </row>
    <row r="11" spans="1:49" x14ac:dyDescent="0.25">
      <c r="C11">
        <v>2033</v>
      </c>
      <c r="D11">
        <v>42173.026049599866</v>
      </c>
      <c r="E11">
        <v>11385.792506417039</v>
      </c>
      <c r="F11">
        <v>15667.4389758262</v>
      </c>
      <c r="G11">
        <v>3841.5721837688911</v>
      </c>
      <c r="H11">
        <v>20373.266536641571</v>
      </c>
      <c r="I11">
        <v>6076.2850525873246</v>
      </c>
      <c r="J11">
        <v>2857.2719913651049</v>
      </c>
      <c r="K11">
        <v>1665.7953998148139</v>
      </c>
      <c r="L11">
        <v>1362.9774923704611</v>
      </c>
      <c r="M11">
        <v>14429.38685750484</v>
      </c>
      <c r="O11">
        <v>2033</v>
      </c>
      <c r="P11">
        <v>24131.698736309121</v>
      </c>
      <c r="Q11">
        <v>1955.3244236915541</v>
      </c>
      <c r="R11">
        <v>1854.4179637682237</v>
      </c>
      <c r="S11">
        <v>1109.609892566388</v>
      </c>
      <c r="T11">
        <v>8129.7253953114378</v>
      </c>
      <c r="U11">
        <v>9804.8795094829602</v>
      </c>
      <c r="V11">
        <v>5349.365586574082</v>
      </c>
      <c r="W11">
        <v>60.735912998924661</v>
      </c>
      <c r="X11">
        <v>170.24351210889253</v>
      </c>
      <c r="Y11">
        <v>935.57902860334832</v>
      </c>
      <c r="AA11">
        <v>2033</v>
      </c>
      <c r="AB11">
        <v>31755.690742906871</v>
      </c>
      <c r="AC11">
        <v>7307.2086562513414</v>
      </c>
      <c r="AD11">
        <v>9765.9950037816434</v>
      </c>
      <c r="AE11">
        <v>2643.9438072739149</v>
      </c>
      <c r="AF11">
        <v>8531.1091680948848</v>
      </c>
      <c r="AG11">
        <v>2508.6137251706305</v>
      </c>
      <c r="AH11">
        <v>1147.980346082546</v>
      </c>
      <c r="AI11">
        <v>1457.661911974187</v>
      </c>
      <c r="AJ11">
        <v>467.56791355179229</v>
      </c>
      <c r="AK11">
        <v>526.26320358938335</v>
      </c>
      <c r="AM11">
        <v>2033</v>
      </c>
      <c r="AN11">
        <v>34483.712765990997</v>
      </c>
      <c r="AO11">
        <v>7449.5218249778982</v>
      </c>
      <c r="AP11">
        <v>10009.03692045662</v>
      </c>
      <c r="AQ11">
        <v>2850.8834195377322</v>
      </c>
      <c r="AR11">
        <v>9478.8283371517391</v>
      </c>
      <c r="AS11">
        <v>2662.3372748435909</v>
      </c>
      <c r="AT11">
        <v>1230.3581526436919</v>
      </c>
      <c r="AU11">
        <v>1689.11683481607</v>
      </c>
      <c r="AV11">
        <v>471.88183506346712</v>
      </c>
      <c r="AW11">
        <v>3553.9781439038902</v>
      </c>
    </row>
    <row r="12" spans="1:49" x14ac:dyDescent="0.25">
      <c r="C12">
        <v>2034</v>
      </c>
      <c r="D12">
        <v>41588.597628291973</v>
      </c>
      <c r="E12">
        <v>11408.549252431139</v>
      </c>
      <c r="F12">
        <v>15707.193781589989</v>
      </c>
      <c r="G12">
        <v>3896.0149711690319</v>
      </c>
      <c r="H12">
        <v>21255.102367148429</v>
      </c>
      <c r="I12">
        <v>6077.8123752963547</v>
      </c>
      <c r="J12">
        <v>2871.5785709127072</v>
      </c>
      <c r="K12">
        <v>1634.1138668174981</v>
      </c>
      <c r="L12">
        <v>1355.4680325046561</v>
      </c>
      <c r="M12">
        <v>15231.674350335001</v>
      </c>
      <c r="O12">
        <v>2034</v>
      </c>
      <c r="P12">
        <v>22403.905781794936</v>
      </c>
      <c r="Q12">
        <v>1898.0229184014572</v>
      </c>
      <c r="R12">
        <v>1735.5184591848536</v>
      </c>
      <c r="S12">
        <v>1096.3304216957426</v>
      </c>
      <c r="T12">
        <v>8393.5839620344814</v>
      </c>
      <c r="U12">
        <v>9785.5909749264993</v>
      </c>
      <c r="V12">
        <v>5367.1336590302408</v>
      </c>
      <c r="W12">
        <v>57.636371300682747</v>
      </c>
      <c r="X12">
        <v>170.27012708713099</v>
      </c>
      <c r="Y12">
        <v>985.14924233939121</v>
      </c>
      <c r="AA12">
        <v>2034</v>
      </c>
      <c r="AB12">
        <v>32759.527127691446</v>
      </c>
      <c r="AC12">
        <v>7375.0266067281191</v>
      </c>
      <c r="AD12">
        <v>9908.9465512520546</v>
      </c>
      <c r="AE12">
        <v>2708.3392485608451</v>
      </c>
      <c r="AF12">
        <v>9004.8869202941514</v>
      </c>
      <c r="AG12">
        <v>2529.2204111014116</v>
      </c>
      <c r="AH12">
        <v>1168.8402450115072</v>
      </c>
      <c r="AI12">
        <v>1383.2729112163818</v>
      </c>
      <c r="AJ12">
        <v>467.64101066832887</v>
      </c>
      <c r="AK12">
        <v>554.14644881590766</v>
      </c>
      <c r="AM12">
        <v>2034</v>
      </c>
      <c r="AN12">
        <v>35371.439141621049</v>
      </c>
      <c r="AO12">
        <v>7516.7455173738445</v>
      </c>
      <c r="AP12">
        <v>10143.22670708308</v>
      </c>
      <c r="AQ12">
        <v>2914.6271982696931</v>
      </c>
      <c r="AR12">
        <v>9972.0311306426447</v>
      </c>
      <c r="AS12">
        <v>2686.417532140948</v>
      </c>
      <c r="AT12">
        <v>1256.312040018377</v>
      </c>
      <c r="AU12">
        <v>1661.188127472707</v>
      </c>
      <c r="AV12">
        <v>475.1148540179812</v>
      </c>
      <c r="AW12">
        <v>3747.67617182089</v>
      </c>
    </row>
    <row r="13" spans="1:49" x14ac:dyDescent="0.25">
      <c r="C13">
        <v>2035</v>
      </c>
      <c r="D13">
        <v>41049.192867628488</v>
      </c>
      <c r="E13">
        <v>11420.944233434229</v>
      </c>
      <c r="F13">
        <v>15714.751633166359</v>
      </c>
      <c r="G13">
        <v>3943.5230338041779</v>
      </c>
      <c r="H13">
        <v>22111.396357981539</v>
      </c>
      <c r="I13">
        <v>6090.2161068128662</v>
      </c>
      <c r="J13">
        <v>2893.9120241630508</v>
      </c>
      <c r="K13">
        <v>1605.0096655624479</v>
      </c>
      <c r="L13">
        <v>1349.2721200622</v>
      </c>
      <c r="M13">
        <v>16001.606589838641</v>
      </c>
      <c r="O13">
        <v>2035</v>
      </c>
      <c r="P13">
        <v>20891.779980282485</v>
      </c>
      <c r="Q13">
        <v>1834.1119570516064</v>
      </c>
      <c r="R13">
        <v>1605.4503318719753</v>
      </c>
      <c r="S13">
        <v>1080.5761723945252</v>
      </c>
      <c r="T13">
        <v>8642.136501579429</v>
      </c>
      <c r="U13">
        <v>9785.9253348578186</v>
      </c>
      <c r="V13">
        <v>5395.2619090245171</v>
      </c>
      <c r="W13">
        <v>55.063474525197314</v>
      </c>
      <c r="X13">
        <v>170.3642323584283</v>
      </c>
      <c r="Y13">
        <v>1034.4475226494462</v>
      </c>
      <c r="AA13">
        <v>2035</v>
      </c>
      <c r="AB13">
        <v>33602.867184540002</v>
      </c>
      <c r="AC13">
        <v>7441.5780622001066</v>
      </c>
      <c r="AD13">
        <v>10041.794440012249</v>
      </c>
      <c r="AE13">
        <v>2768.8958383562081</v>
      </c>
      <c r="AF13">
        <v>9473.4295741105161</v>
      </c>
      <c r="AG13">
        <v>2552.096655533901</v>
      </c>
      <c r="AH13">
        <v>1193.4964380174581</v>
      </c>
      <c r="AI13">
        <v>1321.5233886047317</v>
      </c>
      <c r="AJ13">
        <v>467.8994675387824</v>
      </c>
      <c r="AK13">
        <v>581.87673149031343</v>
      </c>
      <c r="AM13">
        <v>2035</v>
      </c>
      <c r="AN13">
        <v>36108.735935951547</v>
      </c>
      <c r="AO13">
        <v>7579.687497570726</v>
      </c>
      <c r="AP13">
        <v>10260.336854523481</v>
      </c>
      <c r="AQ13">
        <v>2973.371263185973</v>
      </c>
      <c r="AR13">
        <v>10457.023161515041</v>
      </c>
      <c r="AS13">
        <v>2712.2707556900609</v>
      </c>
      <c r="AT13">
        <v>1286.4933642196261</v>
      </c>
      <c r="AU13">
        <v>1638.4848201308571</v>
      </c>
      <c r="AV13">
        <v>478.37619513134308</v>
      </c>
      <c r="AW13">
        <v>3928.740476389547</v>
      </c>
    </row>
    <row r="14" spans="1:49" x14ac:dyDescent="0.25">
      <c r="C14">
        <v>2036</v>
      </c>
      <c r="D14">
        <v>40542.946054538021</v>
      </c>
      <c r="E14">
        <v>11421.291089469451</v>
      </c>
      <c r="F14">
        <v>15687.39245707884</v>
      </c>
      <c r="G14">
        <v>3982.088776107048</v>
      </c>
      <c r="H14">
        <v>22939.240024248989</v>
      </c>
      <c r="I14">
        <v>6108.3305504477639</v>
      </c>
      <c r="J14">
        <v>2922.9060451665168</v>
      </c>
      <c r="K14">
        <v>1581.376209977894</v>
      </c>
      <c r="L14">
        <v>1345.251714167214</v>
      </c>
      <c r="M14">
        <v>16740.66096062908</v>
      </c>
      <c r="O14">
        <v>2036</v>
      </c>
      <c r="P14">
        <v>19556.716357431585</v>
      </c>
      <c r="Q14">
        <v>1765.2696846006768</v>
      </c>
      <c r="R14">
        <v>1468.9152938893433</v>
      </c>
      <c r="S14">
        <v>1061.2388671969079</v>
      </c>
      <c r="T14">
        <v>8874.8279233634257</v>
      </c>
      <c r="U14">
        <v>9795.251542608923</v>
      </c>
      <c r="V14">
        <v>5430.6196795803889</v>
      </c>
      <c r="W14">
        <v>53.086789222275868</v>
      </c>
      <c r="X14">
        <v>170.56736721811819</v>
      </c>
      <c r="Y14">
        <v>1083.0033552512575</v>
      </c>
      <c r="AA14">
        <v>2036</v>
      </c>
      <c r="AB14">
        <v>34303.299139153962</v>
      </c>
      <c r="AC14">
        <v>7503.8906225950186</v>
      </c>
      <c r="AD14">
        <v>10157.733485978244</v>
      </c>
      <c r="AE14">
        <v>2824.7027000266735</v>
      </c>
      <c r="AF14">
        <v>9934.1720034392838</v>
      </c>
      <c r="AG14">
        <v>2576.6572179055574</v>
      </c>
      <c r="AH14">
        <v>1222.1686960086445</v>
      </c>
      <c r="AI14">
        <v>1274.0829413346173</v>
      </c>
      <c r="AJ14">
        <v>468.45737040003274</v>
      </c>
      <c r="AK14">
        <v>609.18938732883214</v>
      </c>
      <c r="AM14">
        <v>2036</v>
      </c>
      <c r="AN14">
        <v>36715.241233085333</v>
      </c>
      <c r="AO14">
        <v>7636.7717493388755</v>
      </c>
      <c r="AP14">
        <v>10355.36325629438</v>
      </c>
      <c r="AQ14">
        <v>3026.5595218873659</v>
      </c>
      <c r="AR14">
        <v>10933.07652564359</v>
      </c>
      <c r="AS14">
        <v>2738.4372545928431</v>
      </c>
      <c r="AT14">
        <v>1320.476207902607</v>
      </c>
      <c r="AU14">
        <v>1621.6375134541811</v>
      </c>
      <c r="AV14">
        <v>481.74247795256781</v>
      </c>
      <c r="AW14">
        <v>4097.5070941897029</v>
      </c>
    </row>
    <row r="15" spans="1:49" x14ac:dyDescent="0.25">
      <c r="C15">
        <v>2037</v>
      </c>
      <c r="D15">
        <v>40075.634065951592</v>
      </c>
      <c r="E15">
        <v>11421.82595234411</v>
      </c>
      <c r="F15">
        <v>15632.385443937559</v>
      </c>
      <c r="G15">
        <v>4014.372480177552</v>
      </c>
      <c r="H15">
        <v>23733.46128507737</v>
      </c>
      <c r="I15">
        <v>6128.2082376998369</v>
      </c>
      <c r="J15">
        <v>2956.9220322574388</v>
      </c>
      <c r="K15">
        <v>1561.873978063488</v>
      </c>
      <c r="L15">
        <v>1340.539554561647</v>
      </c>
      <c r="M15">
        <v>17452.429391220769</v>
      </c>
      <c r="O15">
        <v>2037</v>
      </c>
      <c r="P15">
        <v>18385.13684374751</v>
      </c>
      <c r="Q15">
        <v>1703.0068863954509</v>
      </c>
      <c r="R15">
        <v>1335.5555562653039</v>
      </c>
      <c r="S15">
        <v>1041.3794759205036</v>
      </c>
      <c r="T15">
        <v>9087.5937571923787</v>
      </c>
      <c r="U15">
        <v>9806.5593929988718</v>
      </c>
      <c r="V15">
        <v>5470.6693207660128</v>
      </c>
      <c r="W15">
        <v>51.650392544787081</v>
      </c>
      <c r="X15">
        <v>170.54085930356007</v>
      </c>
      <c r="Y15">
        <v>1130.3848744199938</v>
      </c>
      <c r="AA15">
        <v>2037</v>
      </c>
      <c r="AB15">
        <v>34879.47917143107</v>
      </c>
      <c r="AC15">
        <v>7560.4040318454872</v>
      </c>
      <c r="AD15">
        <v>10251.809623731435</v>
      </c>
      <c r="AE15">
        <v>2875.2315457929972</v>
      </c>
      <c r="AF15">
        <v>10386.42269936141</v>
      </c>
      <c r="AG15">
        <v>2601.5153918632009</v>
      </c>
      <c r="AH15">
        <v>1254.4523975074765</v>
      </c>
      <c r="AI15">
        <v>1239.6094210748861</v>
      </c>
      <c r="AJ15">
        <v>468.38456733018876</v>
      </c>
      <c r="AK15">
        <v>635.84149186124671</v>
      </c>
      <c r="AM15">
        <v>2037</v>
      </c>
      <c r="AN15">
        <v>37208.250682375678</v>
      </c>
      <c r="AO15">
        <v>7688.9938140144286</v>
      </c>
      <c r="AP15">
        <v>10425.81515196353</v>
      </c>
      <c r="AQ15">
        <v>3074.638847643253</v>
      </c>
      <c r="AR15">
        <v>11400.251998786391</v>
      </c>
      <c r="AS15">
        <v>2763.6982384954399</v>
      </c>
      <c r="AT15">
        <v>1357.4239646632479</v>
      </c>
      <c r="AU15">
        <v>1610.190100241321</v>
      </c>
      <c r="AV15">
        <v>484.71714517749137</v>
      </c>
      <c r="AW15">
        <v>4256.986790355958</v>
      </c>
    </row>
    <row r="16" spans="1:49" x14ac:dyDescent="0.25">
      <c r="C16">
        <v>2038</v>
      </c>
      <c r="D16">
        <v>39650.263012802498</v>
      </c>
      <c r="E16">
        <v>11413.266805347421</v>
      </c>
      <c r="F16">
        <v>15539.62233627087</v>
      </c>
      <c r="G16">
        <v>4042.2303963976428</v>
      </c>
      <c r="H16">
        <v>24494.433570538251</v>
      </c>
      <c r="I16">
        <v>6151.4959751671286</v>
      </c>
      <c r="J16">
        <v>2994.047885309396</v>
      </c>
      <c r="K16">
        <v>1546.0790000393999</v>
      </c>
      <c r="L16">
        <v>1339.8864363424129</v>
      </c>
      <c r="M16">
        <v>18146.484666047108</v>
      </c>
      <c r="O16">
        <v>2038</v>
      </c>
      <c r="P16">
        <v>17365.300722683263</v>
      </c>
      <c r="Q16">
        <v>1638.842383922042</v>
      </c>
      <c r="R16">
        <v>1199.4850635640078</v>
      </c>
      <c r="S16">
        <v>1022.3132125248436</v>
      </c>
      <c r="T16">
        <v>9280.5300023604723</v>
      </c>
      <c r="U16">
        <v>9824.4701107678029</v>
      </c>
      <c r="V16">
        <v>5513.1078677246314</v>
      </c>
      <c r="W16">
        <v>50.714338450236561</v>
      </c>
      <c r="X16">
        <v>170.65420976991322</v>
      </c>
      <c r="Y16">
        <v>1176.5824588252049</v>
      </c>
      <c r="AA16">
        <v>2038</v>
      </c>
      <c r="AB16">
        <v>35347.838148256902</v>
      </c>
      <c r="AC16">
        <v>7612.1038758742843</v>
      </c>
      <c r="AD16">
        <v>10321.5570004439</v>
      </c>
      <c r="AE16">
        <v>2920.9069052610894</v>
      </c>
      <c r="AF16">
        <v>10830.239398847069</v>
      </c>
      <c r="AG16">
        <v>2625.5133265706677</v>
      </c>
      <c r="AH16">
        <v>1289.5527664300855</v>
      </c>
      <c r="AI16">
        <v>1217.1441228056731</v>
      </c>
      <c r="AJ16">
        <v>468.69588046274998</v>
      </c>
      <c r="AK16">
        <v>661.82763308917777</v>
      </c>
      <c r="AM16">
        <v>2038</v>
      </c>
      <c r="AN16">
        <v>37596.16198190461</v>
      </c>
      <c r="AO16">
        <v>7734.044045289359</v>
      </c>
      <c r="AP16">
        <v>10469.719528718149</v>
      </c>
      <c r="AQ16">
        <v>3118.4914987429988</v>
      </c>
      <c r="AR16">
        <v>11860.46065041266</v>
      </c>
      <c r="AS16">
        <v>2787.999601846383</v>
      </c>
      <c r="AT16">
        <v>1396.257582277256</v>
      </c>
      <c r="AU16">
        <v>1603.7357272000199</v>
      </c>
      <c r="AV16">
        <v>487.73026268140308</v>
      </c>
      <c r="AW16">
        <v>4412.7832118863043</v>
      </c>
    </row>
    <row r="17" spans="3:49" x14ac:dyDescent="0.25">
      <c r="C17">
        <v>2039</v>
      </c>
      <c r="D17">
        <v>39211.726690268617</v>
      </c>
      <c r="E17">
        <v>11379.79834388273</v>
      </c>
      <c r="F17">
        <v>15404.997685802069</v>
      </c>
      <c r="G17">
        <v>4065.0172177520922</v>
      </c>
      <c r="H17">
        <v>25225.573248013359</v>
      </c>
      <c r="I17">
        <v>6178.5513237361456</v>
      </c>
      <c r="J17">
        <v>3032.319599501307</v>
      </c>
      <c r="K17">
        <v>1532.834777043319</v>
      </c>
      <c r="L17">
        <v>1339.452037841296</v>
      </c>
      <c r="M17">
        <v>18842.154728615631</v>
      </c>
      <c r="O17">
        <v>2039</v>
      </c>
      <c r="P17">
        <v>16419.65715103285</v>
      </c>
      <c r="Q17">
        <v>1562.1869774142265</v>
      </c>
      <c r="R17">
        <v>1058.3136409840133</v>
      </c>
      <c r="S17">
        <v>1002.4887948002009</v>
      </c>
      <c r="T17">
        <v>9454.9254507771948</v>
      </c>
      <c r="U17">
        <v>9850.273500535619</v>
      </c>
      <c r="V17">
        <v>5555.9787846331874</v>
      </c>
      <c r="W17">
        <v>50.206497403969877</v>
      </c>
      <c r="X17">
        <v>170.51123456870667</v>
      </c>
      <c r="Y17">
        <v>1222.3489043387119</v>
      </c>
      <c r="AA17">
        <v>2039</v>
      </c>
      <c r="AB17">
        <v>35716.353882809381</v>
      </c>
      <c r="AC17">
        <v>7656.7036048364653</v>
      </c>
      <c r="AD17">
        <v>10365.022333430965</v>
      </c>
      <c r="AE17">
        <v>2962.5669238058485</v>
      </c>
      <c r="AF17">
        <v>11267.437617892025</v>
      </c>
      <c r="AG17">
        <v>2648.5996217540642</v>
      </c>
      <c r="AH17">
        <v>1326.4447031633931</v>
      </c>
      <c r="AI17">
        <v>1204.9559376952739</v>
      </c>
      <c r="AJ17">
        <v>468.30320402128297</v>
      </c>
      <c r="AK17">
        <v>687.57125869052527</v>
      </c>
      <c r="AM17">
        <v>2039</v>
      </c>
      <c r="AN17">
        <v>37872.038181541851</v>
      </c>
      <c r="AO17">
        <v>7768.4766551139464</v>
      </c>
      <c r="AP17">
        <v>10486.35846147648</v>
      </c>
      <c r="AQ17">
        <v>3159.0327468746659</v>
      </c>
      <c r="AR17">
        <v>12316.595488338389</v>
      </c>
      <c r="AS17">
        <v>2811.63094208354</v>
      </c>
      <c r="AT17">
        <v>1435.8442975632511</v>
      </c>
      <c r="AU17">
        <v>1601.5148754768099</v>
      </c>
      <c r="AV17">
        <v>490.18315544903322</v>
      </c>
      <c r="AW17">
        <v>4572.3979915283398</v>
      </c>
    </row>
    <row r="18" spans="3:49" x14ac:dyDescent="0.25">
      <c r="C18">
        <v>2040</v>
      </c>
      <c r="D18">
        <v>38733.631733245609</v>
      </c>
      <c r="E18">
        <v>11330.81591677912</v>
      </c>
      <c r="F18">
        <v>15248.296128348509</v>
      </c>
      <c r="G18">
        <v>4083.5417199979302</v>
      </c>
      <c r="H18">
        <v>25923.412413134229</v>
      </c>
      <c r="I18">
        <v>6209.1342034138033</v>
      </c>
      <c r="J18">
        <v>3070.977402605859</v>
      </c>
      <c r="K18">
        <v>1520.572654292389</v>
      </c>
      <c r="L18">
        <v>1338.103349306532</v>
      </c>
      <c r="M18">
        <v>19551.380943948421</v>
      </c>
      <c r="O18">
        <v>2040</v>
      </c>
      <c r="P18">
        <v>15524.301173341903</v>
      </c>
      <c r="Q18">
        <v>1483.9260715539285</v>
      </c>
      <c r="R18">
        <v>925.58565262691206</v>
      </c>
      <c r="S18">
        <v>981.75957345153188</v>
      </c>
      <c r="T18">
        <v>9605.9352330203074</v>
      </c>
      <c r="U18">
        <v>9883.8950167590665</v>
      </c>
      <c r="V18">
        <v>5600.0911703988331</v>
      </c>
      <c r="W18">
        <v>50.031431409279399</v>
      </c>
      <c r="X18">
        <v>169.99468197200486</v>
      </c>
      <c r="Y18">
        <v>1268.1451884598871</v>
      </c>
      <c r="AA18">
        <v>2040</v>
      </c>
      <c r="AB18">
        <v>35978.436272464765</v>
      </c>
      <c r="AC18">
        <v>7690.7918885628069</v>
      </c>
      <c r="AD18">
        <v>10381.494876861714</v>
      </c>
      <c r="AE18">
        <v>3001.0811095309327</v>
      </c>
      <c r="AF18">
        <v>11700.765713921472</v>
      </c>
      <c r="AG18">
        <v>2671.0493949793636</v>
      </c>
      <c r="AH18">
        <v>1364.0520826850886</v>
      </c>
      <c r="AI18">
        <v>1200.7543538227021</v>
      </c>
      <c r="AJ18">
        <v>466.88451019331995</v>
      </c>
      <c r="AK18">
        <v>713.33166850868668</v>
      </c>
      <c r="AM18">
        <v>2040</v>
      </c>
      <c r="AN18">
        <v>38028.688013020597</v>
      </c>
      <c r="AO18">
        <v>7793.1756431187532</v>
      </c>
      <c r="AP18">
        <v>10477.361021017279</v>
      </c>
      <c r="AQ18">
        <v>3197.3880695864182</v>
      </c>
      <c r="AR18">
        <v>12770.150760709779</v>
      </c>
      <c r="AS18">
        <v>2835.14039669357</v>
      </c>
      <c r="AT18">
        <v>1475.311886522974</v>
      </c>
      <c r="AU18">
        <v>1602.4862141815711</v>
      </c>
      <c r="AV18">
        <v>491.85647664455291</v>
      </c>
      <c r="AW18">
        <v>4742.6897877473066</v>
      </c>
    </row>
    <row r="19" spans="3:49" x14ac:dyDescent="0.25">
      <c r="C19">
        <v>2041</v>
      </c>
      <c r="D19">
        <v>38213.82539760894</v>
      </c>
      <c r="E19">
        <v>11280.302400913621</v>
      </c>
      <c r="F19">
        <v>15077.24881525552</v>
      </c>
      <c r="G19">
        <v>4097.7528096063088</v>
      </c>
      <c r="H19">
        <v>26592.80484101711</v>
      </c>
      <c r="I19">
        <v>6243.6689172674814</v>
      </c>
      <c r="J19">
        <v>3108.5226760819951</v>
      </c>
      <c r="K19">
        <v>1508.433585904653</v>
      </c>
      <c r="L19">
        <v>1337.6794687956531</v>
      </c>
      <c r="M19">
        <v>20271.935315030481</v>
      </c>
      <c r="O19">
        <v>2041</v>
      </c>
      <c r="P19">
        <v>14687.174520949809</v>
      </c>
      <c r="Q19">
        <v>1414.4023183323834</v>
      </c>
      <c r="R19">
        <v>803.92761077800822</v>
      </c>
      <c r="S19">
        <v>958.94360546771873</v>
      </c>
      <c r="T19">
        <v>9737.0970273320909</v>
      </c>
      <c r="U19">
        <v>9926.3217521424704</v>
      </c>
      <c r="V19">
        <v>5644.0453693201271</v>
      </c>
      <c r="W19">
        <v>50.103183525502914</v>
      </c>
      <c r="X19">
        <v>169.30959116333773</v>
      </c>
      <c r="Y19">
        <v>1313.6807482179106</v>
      </c>
      <c r="AA19">
        <v>2041</v>
      </c>
      <c r="AB19">
        <v>36127.253612369568</v>
      </c>
      <c r="AC19">
        <v>7715.2438866875655</v>
      </c>
      <c r="AD19">
        <v>10372.5874108071</v>
      </c>
      <c r="AE19">
        <v>3037.5186661070975</v>
      </c>
      <c r="AF19">
        <v>12131.643222674287</v>
      </c>
      <c r="AG19">
        <v>2693.3833768588911</v>
      </c>
      <c r="AH19">
        <v>1401.5462921968253</v>
      </c>
      <c r="AI19">
        <v>1202.4764046120661</v>
      </c>
      <c r="AJ19">
        <v>465.00293199962556</v>
      </c>
      <c r="AK19">
        <v>738.94542087257435</v>
      </c>
      <c r="AM19">
        <v>2041</v>
      </c>
      <c r="AN19">
        <v>38063.591639596249</v>
      </c>
      <c r="AO19">
        <v>7810.3321047936124</v>
      </c>
      <c r="AP19">
        <v>10444.66899198542</v>
      </c>
      <c r="AQ19">
        <v>3234.4524140453491</v>
      </c>
      <c r="AR19">
        <v>13223.616382893741</v>
      </c>
      <c r="AS19">
        <v>2859.2449774950069</v>
      </c>
      <c r="AT19">
        <v>1513.8139162913301</v>
      </c>
      <c r="AU19">
        <v>1605.6248980014759</v>
      </c>
      <c r="AV19">
        <v>492.99722967768429</v>
      </c>
      <c r="AW19">
        <v>4928.0990577412003</v>
      </c>
    </row>
    <row r="20" spans="3:49" x14ac:dyDescent="0.25">
      <c r="C20">
        <v>2042</v>
      </c>
      <c r="D20">
        <v>37635.845075803853</v>
      </c>
      <c r="E20">
        <v>11229.012013884079</v>
      </c>
      <c r="F20">
        <v>14873.045831012099</v>
      </c>
      <c r="G20">
        <v>4108.8385603519546</v>
      </c>
      <c r="H20">
        <v>27231.095454866609</v>
      </c>
      <c r="I20">
        <v>6277.4429602115806</v>
      </c>
      <c r="J20">
        <v>3142.255509974485</v>
      </c>
      <c r="K20">
        <v>1500.0938076596481</v>
      </c>
      <c r="L20">
        <v>1336.4731244329571</v>
      </c>
      <c r="M20">
        <v>21011.6247944323</v>
      </c>
      <c r="O20">
        <v>2042</v>
      </c>
      <c r="P20">
        <v>13891.496044262702</v>
      </c>
      <c r="Q20">
        <v>1351.9898069482156</v>
      </c>
      <c r="R20">
        <v>676.81646376646427</v>
      </c>
      <c r="S20">
        <v>934.30233461783303</v>
      </c>
      <c r="T20">
        <v>9844.9078554840835</v>
      </c>
      <c r="U20">
        <v>9967.6786851617398</v>
      </c>
      <c r="V20">
        <v>5683.2218965433058</v>
      </c>
      <c r="W20">
        <v>50.454711960519369</v>
      </c>
      <c r="X20">
        <v>168.36430488449884</v>
      </c>
      <c r="Y20">
        <v>1359.4128629140928</v>
      </c>
      <c r="AA20">
        <v>2042</v>
      </c>
      <c r="AB20">
        <v>36160.412057616435</v>
      </c>
      <c r="AC20">
        <v>7732.228783745677</v>
      </c>
      <c r="AD20">
        <v>10340.222302065564</v>
      </c>
      <c r="AE20">
        <v>3072.7297933430814</v>
      </c>
      <c r="AF20">
        <v>12562.435563749057</v>
      </c>
      <c r="AG20">
        <v>2716.2827286202569</v>
      </c>
      <c r="AH20">
        <v>1438.1232204767634</v>
      </c>
      <c r="AI20">
        <v>1210.9130870524607</v>
      </c>
      <c r="AJ20">
        <v>462.40673595297034</v>
      </c>
      <c r="AK20">
        <v>764.66973538917728</v>
      </c>
      <c r="AM20">
        <v>2042</v>
      </c>
      <c r="AN20">
        <v>37977.501174198231</v>
      </c>
      <c r="AO20">
        <v>7820.4036303800149</v>
      </c>
      <c r="AP20">
        <v>10389.167873071059</v>
      </c>
      <c r="AQ20">
        <v>3270.9799290780102</v>
      </c>
      <c r="AR20">
        <v>13677.353641425339</v>
      </c>
      <c r="AS20">
        <v>2883.8084724306068</v>
      </c>
      <c r="AT20">
        <v>1550.468957474767</v>
      </c>
      <c r="AU20">
        <v>1610.9429517549761</v>
      </c>
      <c r="AV20">
        <v>493.48572555598997</v>
      </c>
      <c r="AW20">
        <v>5131.7527886158896</v>
      </c>
    </row>
    <row r="21" spans="3:49" x14ac:dyDescent="0.25">
      <c r="C21">
        <v>2043</v>
      </c>
      <c r="D21">
        <v>37011.113768410607</v>
      </c>
      <c r="E21">
        <v>11159.48995811038</v>
      </c>
      <c r="F21">
        <v>14621.681828070041</v>
      </c>
      <c r="G21">
        <v>4118.9190959514362</v>
      </c>
      <c r="H21">
        <v>27831.156730748029</v>
      </c>
      <c r="I21">
        <v>6310.4856503150386</v>
      </c>
      <c r="J21">
        <v>3172.0880878108869</v>
      </c>
      <c r="K21">
        <v>1494.626522682594</v>
      </c>
      <c r="L21">
        <v>1335.737811056815</v>
      </c>
      <c r="M21">
        <v>21780.621158582129</v>
      </c>
      <c r="O21">
        <v>2043</v>
      </c>
      <c r="P21">
        <v>13152.684282665159</v>
      </c>
      <c r="Q21">
        <v>1282.0215317256755</v>
      </c>
      <c r="R21">
        <v>532.81176363521422</v>
      </c>
      <c r="S21">
        <v>909.15983823218312</v>
      </c>
      <c r="T21">
        <v>9924.0509943456073</v>
      </c>
      <c r="U21">
        <v>10008.30293503828</v>
      </c>
      <c r="V21">
        <v>5718.5002121821535</v>
      </c>
      <c r="W21">
        <v>50.983851365652463</v>
      </c>
      <c r="X21">
        <v>167.35542133505243</v>
      </c>
      <c r="Y21">
        <v>1406.0347720139837</v>
      </c>
      <c r="AA21">
        <v>2043</v>
      </c>
      <c r="AB21">
        <v>36078.626115488325</v>
      </c>
      <c r="AC21">
        <v>7742.1995940762145</v>
      </c>
      <c r="AD21">
        <v>10285.276194340355</v>
      </c>
      <c r="AE21">
        <v>3107.4309326241091</v>
      </c>
      <c r="AF21">
        <v>12993.485959354073</v>
      </c>
      <c r="AG21">
        <v>2739.6180488090758</v>
      </c>
      <c r="AH21">
        <v>1472.9455096010286</v>
      </c>
      <c r="AI21">
        <v>1223.612432775655</v>
      </c>
      <c r="AJ21">
        <v>459.6358722038151</v>
      </c>
      <c r="AK21">
        <v>790.89455925786569</v>
      </c>
      <c r="AM21">
        <v>2043</v>
      </c>
      <c r="AN21">
        <v>37780.901644491343</v>
      </c>
      <c r="AO21">
        <v>7820.9030218506168</v>
      </c>
      <c r="AP21">
        <v>10312.195929027839</v>
      </c>
      <c r="AQ21">
        <v>3307.5335651415662</v>
      </c>
      <c r="AR21">
        <v>14129.962498134641</v>
      </c>
      <c r="AS21">
        <v>2909.0489226123841</v>
      </c>
      <c r="AT21">
        <v>1584.954964640521</v>
      </c>
      <c r="AU21">
        <v>1617.3469779277491</v>
      </c>
      <c r="AV21">
        <v>493.60989993291429</v>
      </c>
      <c r="AW21">
        <v>5355.0103304922068</v>
      </c>
    </row>
    <row r="22" spans="3:49" x14ac:dyDescent="0.25">
      <c r="C22">
        <v>2044</v>
      </c>
      <c r="D22">
        <v>36324.82907556391</v>
      </c>
      <c r="E22">
        <v>11069.99527817494</v>
      </c>
      <c r="F22">
        <v>14350.67685068249</v>
      </c>
      <c r="G22">
        <v>4127.6907329272426</v>
      </c>
      <c r="H22">
        <v>28396.16078746787</v>
      </c>
      <c r="I22">
        <v>6346.4399099318034</v>
      </c>
      <c r="J22">
        <v>3198.1843964441532</v>
      </c>
      <c r="K22">
        <v>1487.69891476512</v>
      </c>
      <c r="L22">
        <v>1332.479622427117</v>
      </c>
      <c r="M22">
        <v>22567.792921083841</v>
      </c>
      <c r="O22">
        <v>2044</v>
      </c>
      <c r="P22">
        <v>12440.92414528422</v>
      </c>
      <c r="Q22">
        <v>1205.4404164868358</v>
      </c>
      <c r="R22">
        <v>390.73076915389333</v>
      </c>
      <c r="S22">
        <v>882.6570766126024</v>
      </c>
      <c r="T22">
        <v>9978.9797640671059</v>
      </c>
      <c r="U22">
        <v>10055.37440858562</v>
      </c>
      <c r="V22">
        <v>5750.3551180485738</v>
      </c>
      <c r="W22">
        <v>51.493486062530536</v>
      </c>
      <c r="X22">
        <v>166.07415271414891</v>
      </c>
      <c r="Y22">
        <v>1452.9426525348745</v>
      </c>
      <c r="AA22">
        <v>2044</v>
      </c>
      <c r="AB22">
        <v>35891.856562266774</v>
      </c>
      <c r="AC22">
        <v>7742.6939916321107</v>
      </c>
      <c r="AD22">
        <v>10209.073969737568</v>
      </c>
      <c r="AE22">
        <v>3142.1568868844888</v>
      </c>
      <c r="AF22">
        <v>13423.464373227906</v>
      </c>
      <c r="AG22">
        <v>2763.596476481765</v>
      </c>
      <c r="AH22">
        <v>1505.707216408495</v>
      </c>
      <c r="AI22">
        <v>1235.843665500729</v>
      </c>
      <c r="AJ22">
        <v>456.1169122836742</v>
      </c>
      <c r="AK22">
        <v>817.28024205086672</v>
      </c>
      <c r="AM22">
        <v>2044</v>
      </c>
      <c r="AN22">
        <v>37486.475309682392</v>
      </c>
      <c r="AO22">
        <v>7811.9043162086036</v>
      </c>
      <c r="AP22">
        <v>10218.224246367299</v>
      </c>
      <c r="AQ22">
        <v>3344.129093645613</v>
      </c>
      <c r="AR22">
        <v>14581.175062107</v>
      </c>
      <c r="AS22">
        <v>2935.461973404083</v>
      </c>
      <c r="AT22">
        <v>1617.136892766478</v>
      </c>
      <c r="AU22">
        <v>1622.869152682078</v>
      </c>
      <c r="AV22">
        <v>493.11801011310041</v>
      </c>
      <c r="AW22">
        <v>5596.0218346837682</v>
      </c>
    </row>
    <row r="23" spans="3:49" x14ac:dyDescent="0.25">
      <c r="C23">
        <v>2045</v>
      </c>
      <c r="D23">
        <v>35558.2334227018</v>
      </c>
      <c r="E23">
        <v>10982.60601722789</v>
      </c>
      <c r="F23">
        <v>14075.443389229969</v>
      </c>
      <c r="G23">
        <v>4135.7349219209773</v>
      </c>
      <c r="H23">
        <v>28925.572554613711</v>
      </c>
      <c r="I23">
        <v>6385.662482059638</v>
      </c>
      <c r="J23">
        <v>3219.792155351357</v>
      </c>
      <c r="K23">
        <v>1479.3794707770539</v>
      </c>
      <c r="L23">
        <v>1327.057242611867</v>
      </c>
      <c r="M23">
        <v>23359.08671620741</v>
      </c>
      <c r="O23">
        <v>2045</v>
      </c>
      <c r="P23">
        <v>11718.34742242056</v>
      </c>
      <c r="Q23">
        <v>1139.9931584471331</v>
      </c>
      <c r="R23">
        <v>258.12672889459355</v>
      </c>
      <c r="S23">
        <v>855.33196472230225</v>
      </c>
      <c r="T23">
        <v>10009.662262828724</v>
      </c>
      <c r="U23">
        <v>10108.981066434304</v>
      </c>
      <c r="V23">
        <v>5776.6332091541335</v>
      </c>
      <c r="W23">
        <v>51.916612347691753</v>
      </c>
      <c r="X23">
        <v>164.60051852817531</v>
      </c>
      <c r="Y23">
        <v>1499.3764069066046</v>
      </c>
      <c r="AA23">
        <v>2045</v>
      </c>
      <c r="AB23">
        <v>35612.15154419827</v>
      </c>
      <c r="AC23">
        <v>7733.7852730465174</v>
      </c>
      <c r="AD23">
        <v>10116.042003903625</v>
      </c>
      <c r="AE23">
        <v>3176.9226389633327</v>
      </c>
      <c r="AF23">
        <v>13852.116309001647</v>
      </c>
      <c r="AG23">
        <v>2788.6888747338776</v>
      </c>
      <c r="AH23">
        <v>1536.280048128154</v>
      </c>
      <c r="AI23">
        <v>1245.9986963445981</v>
      </c>
      <c r="AJ23">
        <v>452.06962699721021</v>
      </c>
      <c r="AK23">
        <v>843.39922888496517</v>
      </c>
      <c r="AM23">
        <v>2045</v>
      </c>
      <c r="AN23">
        <v>37109.699042411587</v>
      </c>
      <c r="AO23">
        <v>7797.7650318991764</v>
      </c>
      <c r="AP23">
        <v>10112.0439638673</v>
      </c>
      <c r="AQ23">
        <v>3380.6325995364168</v>
      </c>
      <c r="AR23">
        <v>15029.55970550601</v>
      </c>
      <c r="AS23">
        <v>2962.9776256024961</v>
      </c>
      <c r="AT23">
        <v>1646.8467286322971</v>
      </c>
      <c r="AU23">
        <v>1626.607169585684</v>
      </c>
      <c r="AV23">
        <v>492.13624536621671</v>
      </c>
      <c r="AW23">
        <v>5851.4239248707536</v>
      </c>
    </row>
    <row r="24" spans="3:49" x14ac:dyDescent="0.25">
      <c r="C24">
        <v>2046</v>
      </c>
      <c r="D24">
        <v>34728.778936842922</v>
      </c>
      <c r="E24">
        <v>10884.648871398471</v>
      </c>
      <c r="F24">
        <v>13799.06357487029</v>
      </c>
      <c r="G24">
        <v>4142.6673288066322</v>
      </c>
      <c r="H24">
        <v>29412.208432437961</v>
      </c>
      <c r="I24">
        <v>6427.5722663116112</v>
      </c>
      <c r="J24">
        <v>3237.6080389105568</v>
      </c>
      <c r="K24">
        <v>1470.5924052404539</v>
      </c>
      <c r="L24">
        <v>1322.023908599796</v>
      </c>
      <c r="M24">
        <v>24153.014773903309</v>
      </c>
      <c r="O24">
        <v>2046</v>
      </c>
      <c r="P24">
        <v>10992.049885361799</v>
      </c>
      <c r="Q24">
        <v>1071.1081781530327</v>
      </c>
      <c r="R24">
        <v>133.7649155197148</v>
      </c>
      <c r="S24">
        <v>826.92661070321674</v>
      </c>
      <c r="T24">
        <v>10011.369311001263</v>
      </c>
      <c r="U24">
        <v>10167.766824586206</v>
      </c>
      <c r="V24">
        <v>5798.3110471144964</v>
      </c>
      <c r="W24">
        <v>52.219418848540172</v>
      </c>
      <c r="X24">
        <v>163.20748658477692</v>
      </c>
      <c r="Y24">
        <v>1545.389383932242</v>
      </c>
      <c r="AA24">
        <v>2046</v>
      </c>
      <c r="AB24">
        <v>35254.214090291003</v>
      </c>
      <c r="AC24">
        <v>7719.787381580185</v>
      </c>
      <c r="AD24">
        <v>10010.923524228627</v>
      </c>
      <c r="AE24">
        <v>3211.6009695595958</v>
      </c>
      <c r="AF24">
        <v>14278.081720230704</v>
      </c>
      <c r="AG24">
        <v>2814.8287443223708</v>
      </c>
      <c r="AH24">
        <v>1564.5043922006821</v>
      </c>
      <c r="AI24">
        <v>1253.2660523649597</v>
      </c>
      <c r="AJ24">
        <v>448.24371298018019</v>
      </c>
      <c r="AK24">
        <v>869.28152846188607</v>
      </c>
      <c r="AM24">
        <v>2046</v>
      </c>
      <c r="AN24">
        <v>36671.907620067468</v>
      </c>
      <c r="AO24">
        <v>7777.2889821639328</v>
      </c>
      <c r="AP24">
        <v>9998.119732188401</v>
      </c>
      <c r="AQ24">
        <v>3416.6669256206569</v>
      </c>
      <c r="AR24">
        <v>15472.08351410947</v>
      </c>
      <c r="AS24">
        <v>2991.3296057089829</v>
      </c>
      <c r="AT24">
        <v>1674.216809259512</v>
      </c>
      <c r="AU24">
        <v>1628.002896473957</v>
      </c>
      <c r="AV24">
        <v>491.05119245294532</v>
      </c>
      <c r="AW24">
        <v>6118.1356279966913</v>
      </c>
    </row>
    <row r="25" spans="3:49" x14ac:dyDescent="0.25">
      <c r="C25">
        <v>2047</v>
      </c>
      <c r="D25">
        <v>33887.66865516211</v>
      </c>
      <c r="E25">
        <v>10787.48641392675</v>
      </c>
      <c r="F25">
        <v>13515.627109121941</v>
      </c>
      <c r="G25">
        <v>4148.945214750097</v>
      </c>
      <c r="H25">
        <v>29848.963825196599</v>
      </c>
      <c r="I25">
        <v>6467.1249900206813</v>
      </c>
      <c r="J25">
        <v>3252.4517945913858</v>
      </c>
      <c r="K25">
        <v>1462.011316374017</v>
      </c>
      <c r="L25">
        <v>1316.6056492018231</v>
      </c>
      <c r="M25">
        <v>24938.923605552751</v>
      </c>
      <c r="O25">
        <v>2047</v>
      </c>
      <c r="P25">
        <v>10308.205565588923</v>
      </c>
      <c r="Q25">
        <v>1009.1744646973904</v>
      </c>
      <c r="R25">
        <v>10.47437994356193</v>
      </c>
      <c r="S25">
        <v>798.24434073532893</v>
      </c>
      <c r="T25">
        <v>9980.6701074273733</v>
      </c>
      <c r="U25">
        <v>10221.41972166819</v>
      </c>
      <c r="V25">
        <v>5816.297068617575</v>
      </c>
      <c r="W25">
        <v>52.373659098428952</v>
      </c>
      <c r="X25">
        <v>161.84141455327025</v>
      </c>
      <c r="Y25">
        <v>1590.4580330542797</v>
      </c>
      <c r="AA25">
        <v>2047</v>
      </c>
      <c r="AB25">
        <v>34838.312239064093</v>
      </c>
      <c r="AC25">
        <v>7699.5160923422936</v>
      </c>
      <c r="AD25">
        <v>9898.1385348665226</v>
      </c>
      <c r="AE25">
        <v>3245.8335793396236</v>
      </c>
      <c r="AF25">
        <v>14698.479338403995</v>
      </c>
      <c r="AG25">
        <v>2841.763125423533</v>
      </c>
      <c r="AH25">
        <v>1590.5059687965365</v>
      </c>
      <c r="AI25">
        <v>1256.9678183622912</v>
      </c>
      <c r="AJ25">
        <v>444.49184342802693</v>
      </c>
      <c r="AK25">
        <v>894.63264359303241</v>
      </c>
      <c r="AM25">
        <v>2047</v>
      </c>
      <c r="AN25">
        <v>36198.484832009541</v>
      </c>
      <c r="AO25">
        <v>7753.1620710955758</v>
      </c>
      <c r="AP25">
        <v>9880.1548915887761</v>
      </c>
      <c r="AQ25">
        <v>3451.9008666801528</v>
      </c>
      <c r="AR25">
        <v>15905.49537930445</v>
      </c>
      <c r="AS25">
        <v>3019.62582139395</v>
      </c>
      <c r="AT25">
        <v>1699.4512945214819</v>
      </c>
      <c r="AU25">
        <v>1626.628792401003</v>
      </c>
      <c r="AV25">
        <v>489.80567652698898</v>
      </c>
      <c r="AW25">
        <v>6392.3862662038482</v>
      </c>
    </row>
    <row r="26" spans="3:49" x14ac:dyDescent="0.25">
      <c r="C26">
        <v>2048</v>
      </c>
      <c r="D26">
        <v>33036.01834410982</v>
      </c>
      <c r="E26">
        <v>10693.25130043096</v>
      </c>
      <c r="F26">
        <v>13226.46049431033</v>
      </c>
      <c r="G26">
        <v>4152.2368183802009</v>
      </c>
      <c r="H26">
        <v>30240.095080660201</v>
      </c>
      <c r="I26">
        <v>6501.9585060209492</v>
      </c>
      <c r="J26">
        <v>3263.8682776264968</v>
      </c>
      <c r="K26">
        <v>1452.046773795267</v>
      </c>
      <c r="L26">
        <v>1309.975303961455</v>
      </c>
      <c r="M26">
        <v>25710.354296289039</v>
      </c>
      <c r="O26">
        <v>2048</v>
      </c>
      <c r="P26">
        <v>9643.1946968695356</v>
      </c>
      <c r="Q26">
        <v>953.30434063711482</v>
      </c>
      <c r="R26">
        <v>10.22052269269324</v>
      </c>
      <c r="S26">
        <v>767.31154832049742</v>
      </c>
      <c r="T26">
        <v>9923.478230755607</v>
      </c>
      <c r="U26">
        <v>10265.706398958408</v>
      </c>
      <c r="V26">
        <v>5828.5601890483458</v>
      </c>
      <c r="W26">
        <v>52.303065152536917</v>
      </c>
      <c r="X26">
        <v>160.42172381662434</v>
      </c>
      <c r="Y26">
        <v>1634.3144962794615</v>
      </c>
      <c r="AA26">
        <v>2048</v>
      </c>
      <c r="AB26">
        <v>34388.560590409063</v>
      </c>
      <c r="AC26">
        <v>7675.6304503846204</v>
      </c>
      <c r="AD26">
        <v>9658.2470806021502</v>
      </c>
      <c r="AE26">
        <v>3279.3058233461456</v>
      </c>
      <c r="AF26">
        <v>15110.220610339233</v>
      </c>
      <c r="AG26">
        <v>2868.6445303242531</v>
      </c>
      <c r="AH26">
        <v>1614.4787297954078</v>
      </c>
      <c r="AI26">
        <v>1255.2735636608825</v>
      </c>
      <c r="AJ26">
        <v>440.59271195805485</v>
      </c>
      <c r="AK26">
        <v>919.30190415719699</v>
      </c>
      <c r="AM26">
        <v>2048</v>
      </c>
      <c r="AN26">
        <v>35706.331794037447</v>
      </c>
      <c r="AO26">
        <v>7726.5822363252391</v>
      </c>
      <c r="AP26">
        <v>9761.6878735916234</v>
      </c>
      <c r="AQ26">
        <v>3485.7158435776382</v>
      </c>
      <c r="AR26">
        <v>16328.72334596685</v>
      </c>
      <c r="AS26">
        <v>3047.3426907578928</v>
      </c>
      <c r="AT26">
        <v>1722.5767607738219</v>
      </c>
      <c r="AU26">
        <v>1621.7010429556919</v>
      </c>
      <c r="AV26">
        <v>488.2882774794748</v>
      </c>
      <c r="AW26">
        <v>6671.0065361479647</v>
      </c>
    </row>
    <row r="27" spans="3:49" x14ac:dyDescent="0.25">
      <c r="C27">
        <v>2049</v>
      </c>
      <c r="D27">
        <v>32170.562361301909</v>
      </c>
      <c r="E27">
        <v>10591.32872016988</v>
      </c>
      <c r="F27">
        <v>12941.234434424539</v>
      </c>
      <c r="G27">
        <v>4151.200284386513</v>
      </c>
      <c r="H27">
        <v>30591.96686040601</v>
      </c>
      <c r="I27">
        <v>6533.4463388319964</v>
      </c>
      <c r="J27">
        <v>3270.765131264242</v>
      </c>
      <c r="K27">
        <v>1438.8741292235229</v>
      </c>
      <c r="L27">
        <v>1300.964255056964</v>
      </c>
      <c r="M27">
        <v>26465.000216253931</v>
      </c>
      <c r="O27">
        <v>2049</v>
      </c>
      <c r="P27">
        <v>8976.243727467805</v>
      </c>
      <c r="Q27">
        <v>893.75164944336007</v>
      </c>
      <c r="R27">
        <v>9.9712691309387669</v>
      </c>
      <c r="S27">
        <v>733.38771792787827</v>
      </c>
      <c r="T27">
        <v>9845.3061167315627</v>
      </c>
      <c r="U27">
        <v>10303.735464243033</v>
      </c>
      <c r="V27">
        <v>5831.8998290240097</v>
      </c>
      <c r="W27">
        <v>51.942408807095838</v>
      </c>
      <c r="X27">
        <v>158.81833461760229</v>
      </c>
      <c r="Y27">
        <v>1676.9363398329081</v>
      </c>
      <c r="AA27">
        <v>2049</v>
      </c>
      <c r="AB27">
        <v>33921.015204335577</v>
      </c>
      <c r="AC27">
        <v>7649.3164139619867</v>
      </c>
      <c r="AD27">
        <v>9422.7060463979124</v>
      </c>
      <c r="AE27">
        <v>3311.4300513987569</v>
      </c>
      <c r="AF27">
        <v>15512.287178668506</v>
      </c>
      <c r="AG27">
        <v>2894.9755562199985</v>
      </c>
      <c r="AH27">
        <v>1636.4479227351308</v>
      </c>
      <c r="AI27">
        <v>1246.6178113702965</v>
      </c>
      <c r="AJ27">
        <v>436.18905901932391</v>
      </c>
      <c r="AK27">
        <v>943.27669115601088</v>
      </c>
      <c r="AM27">
        <v>2049</v>
      </c>
      <c r="AN27">
        <v>35207.66434824709</v>
      </c>
      <c r="AO27">
        <v>7696.3838455346322</v>
      </c>
      <c r="AP27">
        <v>9646.1193096277766</v>
      </c>
      <c r="AQ27">
        <v>3517.618089440602</v>
      </c>
      <c r="AR27">
        <v>16741.432182553959</v>
      </c>
      <c r="AS27">
        <v>3074.5415440751322</v>
      </c>
      <c r="AT27">
        <v>1743.5131225568909</v>
      </c>
      <c r="AU27">
        <v>1612.545372228414</v>
      </c>
      <c r="AV27">
        <v>486.30399386915468</v>
      </c>
      <c r="AW27">
        <v>6951.7133851920862</v>
      </c>
    </row>
    <row r="28" spans="3:49" x14ac:dyDescent="0.25">
      <c r="C28">
        <v>2050</v>
      </c>
      <c r="D28">
        <v>31330.29596819857</v>
      </c>
      <c r="E28">
        <v>10499.51065494379</v>
      </c>
      <c r="F28">
        <v>12672.256048612349</v>
      </c>
      <c r="G28">
        <v>4149.8831242716842</v>
      </c>
      <c r="H28">
        <v>30906.397877914871</v>
      </c>
      <c r="I28">
        <v>6568.4631926618094</v>
      </c>
      <c r="J28">
        <v>3274.4839955563971</v>
      </c>
      <c r="K28">
        <v>1422.545684390921</v>
      </c>
      <c r="L28">
        <v>1291.2878350823</v>
      </c>
      <c r="M28">
        <v>27181.080197031861</v>
      </c>
      <c r="O28">
        <v>2050</v>
      </c>
      <c r="P28">
        <v>8347.4445627550267</v>
      </c>
      <c r="Q28">
        <v>846.11035552444912</v>
      </c>
      <c r="R28">
        <v>9.7372600030841667</v>
      </c>
      <c r="S28">
        <v>700.89548191820995</v>
      </c>
      <c r="T28">
        <v>9747.25349483645</v>
      </c>
      <c r="U28">
        <v>10349.406319479765</v>
      </c>
      <c r="V28">
        <v>5828.9796067411125</v>
      </c>
      <c r="W28">
        <v>51.296278241483229</v>
      </c>
      <c r="X28">
        <v>157.16844058863026</v>
      </c>
      <c r="Y28">
        <v>1717.0488638632487</v>
      </c>
      <c r="AA28">
        <v>2050</v>
      </c>
      <c r="AB28">
        <v>33447.28113083473</v>
      </c>
      <c r="AC28">
        <v>7619.4200070792858</v>
      </c>
      <c r="AD28">
        <v>9201.5707831738746</v>
      </c>
      <c r="AE28">
        <v>3341.7371849685715</v>
      </c>
      <c r="AF28">
        <v>15904.360573426258</v>
      </c>
      <c r="AG28">
        <v>2920.8144668713749</v>
      </c>
      <c r="AH28">
        <v>1656.3374664290463</v>
      </c>
      <c r="AI28">
        <v>1231.1106777955943</v>
      </c>
      <c r="AJ28">
        <v>431.65768217475681</v>
      </c>
      <c r="AK28">
        <v>965.83998592307717</v>
      </c>
      <c r="AM28">
        <v>2050</v>
      </c>
      <c r="AN28">
        <v>34715.684580572757</v>
      </c>
      <c r="AO28">
        <v>7665.9548524033708</v>
      </c>
      <c r="AP28">
        <v>9536.3531818257488</v>
      </c>
      <c r="AQ28">
        <v>3547.8209766775431</v>
      </c>
      <c r="AR28">
        <v>17142.79086116705</v>
      </c>
      <c r="AS28">
        <v>3102.1691193253209</v>
      </c>
      <c r="AT28">
        <v>1762.5556822289759</v>
      </c>
      <c r="AU28">
        <v>1599.1210858580259</v>
      </c>
      <c r="AV28">
        <v>484.01186060273312</v>
      </c>
      <c r="AW28">
        <v>7231.3861712349126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7690-7AE8-4B19-95C9-8DFAEBAA00F1}">
  <dimension ref="B2:S29"/>
  <sheetViews>
    <sheetView tabSelected="1" workbookViewId="0">
      <selection activeCell="Q29" sqref="Q29"/>
    </sheetView>
  </sheetViews>
  <sheetFormatPr defaultRowHeight="15" x14ac:dyDescent="0.25"/>
  <cols>
    <col min="18" max="18" width="11.5703125" bestFit="1" customWidth="1"/>
  </cols>
  <sheetData>
    <row r="2" spans="2:18" ht="45" x14ac:dyDescent="0.25">
      <c r="C2" s="6" t="s">
        <v>0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1</v>
      </c>
      <c r="K2" s="6" t="s">
        <v>8</v>
      </c>
      <c r="L2" s="6" t="s">
        <v>9</v>
      </c>
      <c r="O2" s="6" t="s">
        <v>16</v>
      </c>
      <c r="R2" s="8" t="s">
        <v>16</v>
      </c>
    </row>
    <row r="3" spans="2:18" x14ac:dyDescent="0.25">
      <c r="B3" s="5">
        <v>2024</v>
      </c>
      <c r="C3" s="3">
        <f>1-('lifetime scenario'!D2/baseline!B2)</f>
        <v>0</v>
      </c>
      <c r="D3" s="3">
        <f>1-('lifetime scenario'!E2/baseline!C2)</f>
        <v>0</v>
      </c>
      <c r="E3" s="3">
        <f>1-('lifetime scenario'!F2/baseline!D2)</f>
        <v>0</v>
      </c>
      <c r="F3" s="3">
        <f>1-('lifetime scenario'!G2/baseline!E2)</f>
        <v>0</v>
      </c>
      <c r="G3" s="3">
        <f>1-('lifetime scenario'!H2/baseline!F2)</f>
        <v>0</v>
      </c>
      <c r="H3" s="3">
        <f>1-('lifetime scenario'!I2/baseline!G2)</f>
        <v>0</v>
      </c>
      <c r="I3" s="3">
        <f>1-('lifetime scenario'!J2/baseline!H2)</f>
        <v>0</v>
      </c>
      <c r="J3" s="3">
        <f>1-('lifetime scenario'!K2/baseline!I2)</f>
        <v>0</v>
      </c>
      <c r="K3" s="3">
        <f>1-('lifetime scenario'!L2/baseline!J2)</f>
        <v>0</v>
      </c>
      <c r="L3" s="3">
        <f>1-('lifetime scenario'!M2/baseline!K2)</f>
        <v>0</v>
      </c>
      <c r="N3" s="5">
        <v>2024</v>
      </c>
      <c r="O3" s="3">
        <f>1-SUM('lifetime scenario'!D2:M2)/SUM(baseline!B2:K2)</f>
        <v>0</v>
      </c>
      <c r="Q3" s="5">
        <v>2019</v>
      </c>
      <c r="R3" s="3">
        <v>0</v>
      </c>
    </row>
    <row r="4" spans="2:18" x14ac:dyDescent="0.25">
      <c r="B4" s="5">
        <v>2025</v>
      </c>
      <c r="C4" s="3">
        <f>1-('lifetime scenario'!D3/baseline!B3)</f>
        <v>1.0549294706230228E-5</v>
      </c>
      <c r="D4" s="3">
        <f>1-('lifetime scenario'!E3/baseline!C3)</f>
        <v>7.4213561783720294E-6</v>
      </c>
      <c r="E4" s="3">
        <f>1-('lifetime scenario'!F3/baseline!D3)</f>
        <v>8.035472359613216E-6</v>
      </c>
      <c r="F4" s="3">
        <f>1-('lifetime scenario'!G3/baseline!E3)</f>
        <v>8.8214592601776332E-6</v>
      </c>
      <c r="G4" s="3">
        <f>1-('lifetime scenario'!H3/baseline!F3)</f>
        <v>7.1587959064034479E-6</v>
      </c>
      <c r="H4" s="3">
        <f>1-('lifetime scenario'!I3/baseline!G3)</f>
        <v>6.1272695051073356E-6</v>
      </c>
      <c r="I4" s="3">
        <f>1-('lifetime scenario'!J3/baseline!H3)</f>
        <v>7.7311212013375652E-6</v>
      </c>
      <c r="J4" s="3">
        <f>1-('lifetime scenario'!K3/baseline!I3)</f>
        <v>4.5856099455399146E-6</v>
      </c>
      <c r="K4" s="3">
        <f>1-('lifetime scenario'!L3/baseline!J3)</f>
        <v>6.9692643855923109E-6</v>
      </c>
      <c r="L4" s="3">
        <f>1-('lifetime scenario'!M3/baseline!K3)</f>
        <v>9.1387182656887944E-6</v>
      </c>
      <c r="N4" s="5">
        <v>2025</v>
      </c>
      <c r="O4" s="3">
        <f>1-SUM('lifetime scenario'!D3:M3)/SUM(baseline!B3:K3)</f>
        <v>8.856151468505935E-6</v>
      </c>
      <c r="Q4" s="5">
        <v>2023</v>
      </c>
      <c r="R4" s="3">
        <v>0</v>
      </c>
    </row>
    <row r="5" spans="2:18" x14ac:dyDescent="0.25">
      <c r="B5" s="5">
        <v>2026</v>
      </c>
      <c r="C5" s="3">
        <f>1-('lifetime scenario'!D4/baseline!B4)</f>
        <v>5.0893982443289687E-5</v>
      </c>
      <c r="D5" s="3">
        <f>1-('lifetime scenario'!E4/baseline!C4)</f>
        <v>3.137472098191374E-5</v>
      </c>
      <c r="E5" s="3">
        <f>1-('lifetime scenario'!F4/baseline!D4)</f>
        <v>3.1725784195857365E-5</v>
      </c>
      <c r="F5" s="3">
        <f>1-('lifetime scenario'!G4/baseline!E4)</f>
        <v>3.9668996669961487E-5</v>
      </c>
      <c r="G5" s="3">
        <f>1-('lifetime scenario'!H4/baseline!F4)</f>
        <v>3.1583129978640656E-5</v>
      </c>
      <c r="H5" s="3">
        <f>1-('lifetime scenario'!I4/baseline!G4)</f>
        <v>3.1965968330327499E-5</v>
      </c>
      <c r="I5" s="3">
        <f>1-('lifetime scenario'!J4/baseline!H4)</f>
        <v>3.9902106822142791E-5</v>
      </c>
      <c r="J5" s="3">
        <f>1-('lifetime scenario'!K4/baseline!I4)</f>
        <v>2.156306641343253E-5</v>
      </c>
      <c r="K5" s="3">
        <f>1-('lifetime scenario'!L4/baseline!J4)</f>
        <v>3.1994013467429028E-5</v>
      </c>
      <c r="L5" s="3">
        <f>1-('lifetime scenario'!M4/baseline!K4)</f>
        <v>3.1833178944729035E-5</v>
      </c>
      <c r="N5" s="5">
        <v>2026</v>
      </c>
      <c r="O5" s="3">
        <f>1-SUM('lifetime scenario'!D4:M4)/SUM(baseline!B4:K4)</f>
        <v>4.0050414420123026E-5</v>
      </c>
      <c r="Q5" s="5">
        <v>2025</v>
      </c>
      <c r="R5" s="4">
        <f>O4</f>
        <v>8.856151468505935E-6</v>
      </c>
    </row>
    <row r="6" spans="2:18" x14ac:dyDescent="0.25">
      <c r="B6" s="5">
        <v>2027</v>
      </c>
      <c r="C6" s="3">
        <f>1-('lifetime scenario'!D5/baseline!B5)</f>
        <v>1.652502133923095E-4</v>
      </c>
      <c r="D6" s="3">
        <f>1-('lifetime scenario'!E5/baseline!C5)</f>
        <v>8.9251740496565368E-5</v>
      </c>
      <c r="E6" s="3">
        <f>1-('lifetime scenario'!F5/baseline!D5)</f>
        <v>8.9945246172229432E-5</v>
      </c>
      <c r="F6" s="3">
        <f>1-('lifetime scenario'!G5/baseline!E5)</f>
        <v>1.2003876403599012E-4</v>
      </c>
      <c r="G6" s="3">
        <f>1-('lifetime scenario'!H5/baseline!F5)</f>
        <v>9.3404160652399426E-5</v>
      </c>
      <c r="H6" s="3">
        <f>1-('lifetime scenario'!I5/baseline!G5)</f>
        <v>1.0259757685027182E-4</v>
      </c>
      <c r="I6" s="3">
        <f>1-('lifetime scenario'!J5/baseline!H5)</f>
        <v>1.2660475346926159E-4</v>
      </c>
      <c r="J6" s="3">
        <f>1-('lifetime scenario'!K5/baseline!I5)</f>
        <v>6.4341240242793418E-5</v>
      </c>
      <c r="K6" s="3">
        <f>1-('lifetime scenario'!L5/baseline!J5)</f>
        <v>9.2708601997282258E-5</v>
      </c>
      <c r="L6" s="3">
        <f>1-('lifetime scenario'!M5/baseline!K5)</f>
        <v>8.4714874032609799E-5</v>
      </c>
      <c r="N6" s="5">
        <v>2027</v>
      </c>
      <c r="O6" s="3">
        <f>1-SUM('lifetime scenario'!D5:M5)/SUM(baseline!B5:K5)</f>
        <v>1.2305015709535017E-4</v>
      </c>
      <c r="Q6" s="5">
        <v>2030</v>
      </c>
      <c r="R6" s="4">
        <f>O9</f>
        <v>1.3763782578244399E-3</v>
      </c>
    </row>
    <row r="7" spans="2:18" x14ac:dyDescent="0.25">
      <c r="B7" s="5">
        <v>2028</v>
      </c>
      <c r="C7" s="3">
        <f>1-('lifetime scenario'!D6/baseline!B6)</f>
        <v>4.3985275382563138E-4</v>
      </c>
      <c r="D7" s="3">
        <f>1-('lifetime scenario'!E6/baseline!C6)</f>
        <v>2.1053923057434698E-4</v>
      </c>
      <c r="E7" s="3">
        <f>1-('lifetime scenario'!F6/baseline!D6)</f>
        <v>2.1219004727002222E-4</v>
      </c>
      <c r="F7" s="3">
        <f>1-('lifetime scenario'!G6/baseline!E6)</f>
        <v>2.9923521444175094E-4</v>
      </c>
      <c r="G7" s="3">
        <f>1-('lifetime scenario'!H6/baseline!F6)</f>
        <v>2.2735917119143245E-4</v>
      </c>
      <c r="H7" s="3">
        <f>1-('lifetime scenario'!I6/baseline!G6)</f>
        <v>2.679888050528545E-4</v>
      </c>
      <c r="I7" s="3">
        <f>1-('lifetime scenario'!J6/baseline!H6)</f>
        <v>3.2494943043648306E-4</v>
      </c>
      <c r="J7" s="3">
        <f>1-('lifetime scenario'!K6/baseline!I6)</f>
        <v>1.5761981282524928E-4</v>
      </c>
      <c r="K7" s="3">
        <f>1-('lifetime scenario'!L6/baseline!J6)</f>
        <v>2.2067791111257673E-4</v>
      </c>
      <c r="L7" s="3">
        <f>1-('lifetime scenario'!M6/baseline!K6)</f>
        <v>1.9363229452218356E-4</v>
      </c>
      <c r="N7" s="5">
        <v>2028</v>
      </c>
      <c r="O7" s="3">
        <f>1-SUM('lifetime scenario'!D6:M6)/SUM(baseline!B6:K6)</f>
        <v>3.1141560291592096E-4</v>
      </c>
      <c r="Q7" s="5">
        <v>2035</v>
      </c>
      <c r="R7" s="4">
        <f>O14</f>
        <v>1.322158521410377E-2</v>
      </c>
    </row>
    <row r="8" spans="2:18" x14ac:dyDescent="0.25">
      <c r="B8" s="5">
        <v>2029</v>
      </c>
      <c r="C8" s="3">
        <f>1-('lifetime scenario'!D7/baseline!B7)</f>
        <v>1.0167324869335692E-3</v>
      </c>
      <c r="D8" s="3">
        <f>1-('lifetime scenario'!E7/baseline!C7)</f>
        <v>4.4261129859435311E-4</v>
      </c>
      <c r="E8" s="3">
        <f>1-('lifetime scenario'!F7/baseline!D7)</f>
        <v>4.4815779215467977E-4</v>
      </c>
      <c r="F8" s="3">
        <f>1-('lifetime scenario'!G7/baseline!E7)</f>
        <v>6.5515771845514603E-4</v>
      </c>
      <c r="G8" s="3">
        <f>1-('lifetime scenario'!H7/baseline!F7)</f>
        <v>4.8624300044830537E-4</v>
      </c>
      <c r="H8" s="3">
        <f>1-('lifetime scenario'!I7/baseline!G7)</f>
        <v>6.1032830159335472E-4</v>
      </c>
      <c r="I8" s="3">
        <f>1-('lifetime scenario'!J7/baseline!H7)</f>
        <v>7.2924111090022503E-4</v>
      </c>
      <c r="J8" s="3">
        <f>1-('lifetime scenario'!K7/baseline!I7)</f>
        <v>3.4226953463123433E-4</v>
      </c>
      <c r="K8" s="3">
        <f>1-('lifetime scenario'!L7/baseline!J7)</f>
        <v>4.6794645465275675E-4</v>
      </c>
      <c r="L8" s="3">
        <f>1-('lifetime scenario'!M7/baseline!K7)</f>
        <v>3.9651414755115244E-4</v>
      </c>
      <c r="N8" s="5">
        <v>2029</v>
      </c>
      <c r="O8" s="3">
        <f>1-SUM('lifetime scenario'!D7:M7)/SUM(baseline!B7:K7)</f>
        <v>6.9054069783314187E-4</v>
      </c>
      <c r="Q8" s="5">
        <v>2040</v>
      </c>
      <c r="R8" s="4">
        <f>O19</f>
        <v>3.9106839655486669E-2</v>
      </c>
    </row>
    <row r="9" spans="2:18" x14ac:dyDescent="0.25">
      <c r="B9" s="5">
        <v>2030</v>
      </c>
      <c r="C9" s="3">
        <f>1-('lifetime scenario'!D8/baseline!B8)</f>
        <v>2.093513454474949E-3</v>
      </c>
      <c r="D9" s="3">
        <f>1-('lifetime scenario'!E8/baseline!C8)</f>
        <v>8.5456441026188212E-4</v>
      </c>
      <c r="E9" s="3">
        <f>1-('lifetime scenario'!F8/baseline!D8)</f>
        <v>8.6839701558871774E-4</v>
      </c>
      <c r="F9" s="3">
        <f>1-('lifetime scenario'!G8/baseline!E8)</f>
        <v>1.2949208169720228E-3</v>
      </c>
      <c r="G9" s="3">
        <f>1-('lifetime scenario'!H8/baseline!F8)</f>
        <v>9.3951680606130239E-4</v>
      </c>
      <c r="H9" s="3">
        <f>1-('lifetime scenario'!I8/baseline!G8)</f>
        <v>1.248584748812176E-3</v>
      </c>
      <c r="I9" s="3">
        <f>1-('lifetime scenario'!J8/baseline!H8)</f>
        <v>1.4771488447223868E-3</v>
      </c>
      <c r="J9" s="3">
        <f>1-('lifetime scenario'!K8/baseline!I8)</f>
        <v>6.8043561702313404E-4</v>
      </c>
      <c r="K9" s="3">
        <f>1-('lifetime scenario'!L8/baseline!J8)</f>
        <v>9.0828088673933216E-4</v>
      </c>
      <c r="L9" s="3">
        <f>1-('lifetime scenario'!M8/baseline!K8)</f>
        <v>7.4238201133369763E-4</v>
      </c>
      <c r="N9" s="5">
        <v>2030</v>
      </c>
      <c r="O9" s="3">
        <f>1-SUM('lifetime scenario'!D8:M8)/SUM(baseline!B8:K8)</f>
        <v>1.3763782578244399E-3</v>
      </c>
      <c r="Q9" s="5">
        <v>2045</v>
      </c>
      <c r="R9" s="4">
        <f>O24</f>
        <v>7.1177024926353694E-2</v>
      </c>
    </row>
    <row r="10" spans="2:18" x14ac:dyDescent="0.25">
      <c r="B10" s="5">
        <v>2031</v>
      </c>
      <c r="C10" s="3">
        <f>1-('lifetime scenario'!D9/baseline!B9)</f>
        <v>3.8986107766666445E-3</v>
      </c>
      <c r="D10" s="3">
        <f>1-('lifetime scenario'!E9/baseline!C9)</f>
        <v>1.5363026419739079E-3</v>
      </c>
      <c r="E10" s="3">
        <f>1-('lifetime scenario'!F9/baseline!D9)</f>
        <v>1.5654594883512951E-3</v>
      </c>
      <c r="F10" s="3">
        <f>1-('lifetime scenario'!G9/baseline!E9)</f>
        <v>2.3468880368955336E-3</v>
      </c>
      <c r="G10" s="3">
        <f>1-('lifetime scenario'!H9/baseline!F9)</f>
        <v>1.6660634314790146E-3</v>
      </c>
      <c r="H10" s="3">
        <f>1-('lifetime scenario'!I9/baseline!G9)</f>
        <v>2.3280632723484684E-3</v>
      </c>
      <c r="I10" s="3">
        <f>1-('lifetime scenario'!J9/baseline!H9)</f>
        <v>2.7357258521036876E-3</v>
      </c>
      <c r="J10" s="3">
        <f>1-('lifetime scenario'!K9/baseline!I9)</f>
        <v>1.2578607087783134E-3</v>
      </c>
      <c r="K10" s="3">
        <f>1-('lifetime scenario'!L9/baseline!J9)</f>
        <v>1.6441670403292141E-3</v>
      </c>
      <c r="L10" s="3">
        <f>1-('lifetime scenario'!M9/baseline!K9)</f>
        <v>1.2856749209793072E-3</v>
      </c>
      <c r="N10" s="5">
        <v>2031</v>
      </c>
      <c r="O10" s="3">
        <f>1-SUM('lifetime scenario'!D9:M9)/SUM(baseline!B9:K9)</f>
        <v>2.5018115636511462E-3</v>
      </c>
      <c r="Q10" s="7">
        <v>2050</v>
      </c>
      <c r="R10" s="4">
        <f>O29</f>
        <v>0.10326126048032036</v>
      </c>
    </row>
    <row r="11" spans="2:18" x14ac:dyDescent="0.25">
      <c r="B11" s="5">
        <v>2032</v>
      </c>
      <c r="C11" s="3">
        <f>1-('lifetime scenario'!D10/baseline!B10)</f>
        <v>6.6394484489316064E-3</v>
      </c>
      <c r="D11" s="3">
        <f>1-('lifetime scenario'!E10/baseline!C10)</f>
        <v>2.597853315105203E-3</v>
      </c>
      <c r="E11" s="3">
        <f>1-('lifetime scenario'!F10/baseline!D10)</f>
        <v>2.6458930880305376E-3</v>
      </c>
      <c r="F11" s="3">
        <f>1-('lifetime scenario'!G10/baseline!E10)</f>
        <v>3.9410133958122096E-3</v>
      </c>
      <c r="G11" s="3">
        <f>1-('lifetime scenario'!H10/baseline!F10)</f>
        <v>2.7418341525303758E-3</v>
      </c>
      <c r="H11" s="3">
        <f>1-('lifetime scenario'!I10/baseline!G10)</f>
        <v>3.9918701993536532E-3</v>
      </c>
      <c r="I11" s="3">
        <f>1-('lifetime scenario'!J10/baseline!H10)</f>
        <v>4.6753986572296569E-3</v>
      </c>
      <c r="J11" s="3">
        <f>1-('lifetime scenario'!K10/baseline!I10)</f>
        <v>2.1793322576928453E-3</v>
      </c>
      <c r="K11" s="3">
        <f>1-('lifetime scenario'!L10/baseline!J10)</f>
        <v>2.8010046606582462E-3</v>
      </c>
      <c r="L11" s="3">
        <f>1-('lifetime scenario'!M10/baseline!K10)</f>
        <v>2.0783673979322126E-3</v>
      </c>
      <c r="N11" s="5">
        <v>2032</v>
      </c>
      <c r="O11" s="3">
        <f>1-SUM('lifetime scenario'!D10:M10)/SUM(baseline!B10:K10)</f>
        <v>4.1905878761223647E-3</v>
      </c>
    </row>
    <row r="12" spans="2:18" x14ac:dyDescent="0.25">
      <c r="B12" s="5">
        <v>2033</v>
      </c>
      <c r="C12" s="3">
        <f>1-('lifetime scenario'!D11/baseline!B11)</f>
        <v>1.0441068815112753E-2</v>
      </c>
      <c r="D12" s="3">
        <f>1-('lifetime scenario'!E11/baseline!C11)</f>
        <v>4.1583929598889569E-3</v>
      </c>
      <c r="E12" s="3">
        <f>1-('lifetime scenario'!F11/baseline!D11)</f>
        <v>4.2198386232860097E-3</v>
      </c>
      <c r="F12" s="3">
        <f>1-('lifetime scenario'!G11/baseline!E11)</f>
        <v>6.1861315348477053E-3</v>
      </c>
      <c r="G12" s="3">
        <f>1-('lifetime scenario'!H11/baseline!F11)</f>
        <v>4.2258251376362521E-3</v>
      </c>
      <c r="H12" s="3">
        <f>1-('lifetime scenario'!I11/baseline!G11)</f>
        <v>6.3501633588132211E-3</v>
      </c>
      <c r="I12" s="3">
        <f>1-('lifetime scenario'!J11/baseline!H11)</f>
        <v>7.4475455755842468E-3</v>
      </c>
      <c r="J12" s="3">
        <f>1-('lifetime scenario'!K11/baseline!I11)</f>
        <v>3.5585161586149106E-3</v>
      </c>
      <c r="K12" s="3">
        <f>1-('lifetime scenario'!L11/baseline!J11)</f>
        <v>4.4941068017805286E-3</v>
      </c>
      <c r="L12" s="3">
        <f>1-('lifetime scenario'!M11/baseline!K11)</f>
        <v>3.1641176170572605E-3</v>
      </c>
      <c r="N12" s="5">
        <v>2033</v>
      </c>
      <c r="O12" s="3">
        <f>1-SUM('lifetime scenario'!D11:M11)/SUM(baseline!B11:K11)</f>
        <v>6.5284392862163809E-3</v>
      </c>
      <c r="R12" t="s">
        <v>17</v>
      </c>
    </row>
    <row r="13" spans="2:18" x14ac:dyDescent="0.25">
      <c r="B13" s="5">
        <v>2034</v>
      </c>
      <c r="C13" s="3">
        <f>1-('lifetime scenario'!D12/baseline!B12)</f>
        <v>1.5306196341571709E-2</v>
      </c>
      <c r="D13" s="3">
        <f>1-('lifetime scenario'!E12/baseline!C12)</f>
        <v>6.3291022805557207E-3</v>
      </c>
      <c r="E13" s="3">
        <f>1-('lifetime scenario'!F12/baseline!D12)</f>
        <v>6.3948928983051934E-3</v>
      </c>
      <c r="F13" s="3">
        <f>1-('lifetime scenario'!G12/baseline!E12)</f>
        <v>9.1460990803562403E-3</v>
      </c>
      <c r="G13" s="3">
        <f>1-('lifetime scenario'!H12/baseline!F12)</f>
        <v>6.152017996802206E-3</v>
      </c>
      <c r="H13" s="3">
        <f>1-('lifetime scenario'!I12/baseline!G12)</f>
        <v>9.4484661018483518E-3</v>
      </c>
      <c r="I13" s="3">
        <f>1-('lifetime scenario'!J12/baseline!H12)</f>
        <v>1.1124736632452947E-2</v>
      </c>
      <c r="J13" s="3">
        <f>1-('lifetime scenario'!K12/baseline!I12)</f>
        <v>5.5037524558311235E-3</v>
      </c>
      <c r="K13" s="3">
        <f>1-('lifetime scenario'!L12/baseline!J12)</f>
        <v>6.855318293650825E-3</v>
      </c>
      <c r="L13" s="3">
        <f>1-('lifetime scenario'!M12/baseline!K12)</f>
        <v>4.5788216087742084E-3</v>
      </c>
      <c r="N13" s="5">
        <v>2034</v>
      </c>
      <c r="O13" s="3">
        <f>1-SUM('lifetime scenario'!D12:M12)/SUM(baseline!B12:K12)</f>
        <v>9.5463398675234012E-3</v>
      </c>
      <c r="R13" t="s">
        <v>22</v>
      </c>
    </row>
    <row r="14" spans="2:18" x14ac:dyDescent="0.25">
      <c r="B14" s="5">
        <v>2035</v>
      </c>
      <c r="C14" s="3">
        <f>1-('lifetime scenario'!D13/baseline!B13)</f>
        <v>2.111622523659773E-2</v>
      </c>
      <c r="D14" s="3">
        <f>1-('lifetime scenario'!E13/baseline!C13)</f>
        <v>9.2091048323449387E-3</v>
      </c>
      <c r="E14" s="3">
        <f>1-('lifetime scenario'!F13/baseline!D13)</f>
        <v>9.2584984402602766E-3</v>
      </c>
      <c r="F14" s="3">
        <f>1-('lifetime scenario'!G13/baseline!E13)</f>
        <v>1.2843268291777399E-2</v>
      </c>
      <c r="G14" s="3">
        <f>1-('lifetime scenario'!H13/baseline!F13)</f>
        <v>8.5291902294414301E-3</v>
      </c>
      <c r="H14" s="3">
        <f>1-('lifetime scenario'!I13/baseline!G13)</f>
        <v>1.3259614673816311E-2</v>
      </c>
      <c r="I14" s="3">
        <f>1-('lifetime scenario'!J13/baseline!H13)</f>
        <v>1.568866098518007E-2</v>
      </c>
      <c r="J14" s="3">
        <f>1-('lifetime scenario'!K13/baseline!I13)</f>
        <v>8.0950363803826697E-3</v>
      </c>
      <c r="K14" s="3">
        <f>1-('lifetime scenario'!L13/baseline!J13)</f>
        <v>9.9718118906351183E-3</v>
      </c>
      <c r="L14" s="3">
        <f>1-('lifetime scenario'!M13/baseline!K13)</f>
        <v>6.3567851778465467E-3</v>
      </c>
      <c r="N14" s="5">
        <v>2035</v>
      </c>
      <c r="O14" s="3">
        <f>1-SUM('lifetime scenario'!D13:M13)/SUM(baseline!B13:K13)</f>
        <v>1.322158521410377E-2</v>
      </c>
      <c r="R14" s="9" t="s">
        <v>18</v>
      </c>
    </row>
    <row r="15" spans="2:18" x14ac:dyDescent="0.25">
      <c r="B15" s="5">
        <v>2036</v>
      </c>
      <c r="C15" s="3">
        <f>1-('lifetime scenario'!D14/baseline!B14)</f>
        <v>2.7686903569292598E-2</v>
      </c>
      <c r="D15" s="3">
        <f>1-('lifetime scenario'!E14/baseline!C14)</f>
        <v>1.2867507482498874E-2</v>
      </c>
      <c r="E15" s="3">
        <f>1-('lifetime scenario'!F14/baseline!D14)</f>
        <v>1.2873351742698991E-2</v>
      </c>
      <c r="F15" s="3">
        <f>1-('lifetime scenario'!G14/baseline!E14)</f>
        <v>1.7262081831047271E-2</v>
      </c>
      <c r="G15" s="3">
        <f>1-('lifetime scenario'!H14/baseline!F14)</f>
        <v>1.1346190718058646E-2</v>
      </c>
      <c r="H15" s="3">
        <f>1-('lifetime scenario'!I14/baseline!G14)</f>
        <v>1.7710066703576E-2</v>
      </c>
      <c r="I15" s="3">
        <f>1-('lifetime scenario'!J14/baseline!H14)</f>
        <v>2.1033158812971631E-2</v>
      </c>
      <c r="J15" s="3">
        <f>1-('lifetime scenario'!K14/baseline!I14)</f>
        <v>1.1343335138398691E-2</v>
      </c>
      <c r="K15" s="3">
        <f>1-('lifetime scenario'!L14/baseline!J14)</f>
        <v>1.3882855486849421E-2</v>
      </c>
      <c r="L15" s="3">
        <f>1-('lifetime scenario'!M14/baseline!K14)</f>
        <v>8.5345452227089114E-3</v>
      </c>
      <c r="N15" s="5">
        <v>2036</v>
      </c>
      <c r="O15" s="3">
        <f>1-SUM('lifetime scenario'!D14:M14)/SUM(baseline!B14:K14)</f>
        <v>1.7496715802307827E-2</v>
      </c>
      <c r="R15" s="10" t="s">
        <v>23</v>
      </c>
    </row>
    <row r="16" spans="2:18" x14ac:dyDescent="0.25">
      <c r="B16" s="5">
        <v>2037</v>
      </c>
      <c r="C16" s="3">
        <f>1-('lifetime scenario'!D15/baseline!B15)</f>
        <v>3.4805979911090468E-2</v>
      </c>
      <c r="D16" s="3">
        <f>1-('lifetime scenario'!E15/baseline!C15)</f>
        <v>1.7319992447686228E-2</v>
      </c>
      <c r="E16" s="3">
        <f>1-('lifetime scenario'!F15/baseline!D15)</f>
        <v>1.7268702648153944E-2</v>
      </c>
      <c r="F16" s="3">
        <f>1-('lifetime scenario'!G15/baseline!E15)</f>
        <v>2.2338749167933436E-2</v>
      </c>
      <c r="G16" s="3">
        <f>1-('lifetime scenario'!H15/baseline!F15)</f>
        <v>1.4582003808965349E-2</v>
      </c>
      <c r="H16" s="3">
        <f>1-('lifetime scenario'!I15/baseline!G15)</f>
        <v>2.270227337034314E-2</v>
      </c>
      <c r="I16" s="3">
        <f>1-('lifetime scenario'!J15/baseline!H15)</f>
        <v>2.698689598846804E-2</v>
      </c>
      <c r="J16" s="3">
        <f>1-('lifetime scenario'!K15/baseline!I15)</f>
        <v>1.521082384661876E-2</v>
      </c>
      <c r="K16" s="3">
        <f>1-('lifetime scenario'!L15/baseline!J15)</f>
        <v>1.8617752897360562E-2</v>
      </c>
      <c r="L16" s="3">
        <f>1-('lifetime scenario'!M15/baseline!K15)</f>
        <v>1.1150615378390016E-2</v>
      </c>
      <c r="N16" s="5">
        <v>2037</v>
      </c>
      <c r="O16" s="3">
        <f>1-SUM('lifetime scenario'!D15:M15)/SUM(baseline!B15:K15)</f>
        <v>2.2294729982710759E-2</v>
      </c>
      <c r="R16" s="11">
        <f>1-(150/180)</f>
        <v>0.16666666666666663</v>
      </c>
    </row>
    <row r="17" spans="2:19" x14ac:dyDescent="0.25">
      <c r="B17" s="5">
        <v>2038</v>
      </c>
      <c r="C17" s="3">
        <f>1-('lifetime scenario'!D16/baseline!B16)</f>
        <v>4.2276016573017161E-2</v>
      </c>
      <c r="D17" s="3">
        <f>1-('lifetime scenario'!E16/baseline!C16)</f>
        <v>2.2567714851013276E-2</v>
      </c>
      <c r="E17" s="3">
        <f>1-('lifetime scenario'!F16/baseline!D16)</f>
        <v>2.2469402275238526E-2</v>
      </c>
      <c r="F17" s="3">
        <f>1-('lifetime scenario'!G16/baseline!E16)</f>
        <v>2.7981570043248083E-2</v>
      </c>
      <c r="G17" s="3">
        <f>1-('lifetime scenario'!H16/baseline!F16)</f>
        <v>1.8207371579610387E-2</v>
      </c>
      <c r="H17" s="3">
        <f>1-('lifetime scenario'!I16/baseline!G16)</f>
        <v>2.8114618317277906E-2</v>
      </c>
      <c r="I17" s="3">
        <f>1-('lifetime scenario'!J16/baseline!H16)</f>
        <v>3.3349243357090774E-2</v>
      </c>
      <c r="J17" s="3">
        <f>1-('lifetime scenario'!K16/baseline!I16)</f>
        <v>1.9596176625278128E-2</v>
      </c>
      <c r="K17" s="3">
        <f>1-('lifetime scenario'!L16/baseline!J16)</f>
        <v>2.4068415302398782E-2</v>
      </c>
      <c r="L17" s="3">
        <f>1-('lifetime scenario'!M16/baseline!K16)</f>
        <v>1.4230989764698831E-2</v>
      </c>
      <c r="N17" s="5">
        <v>2038</v>
      </c>
      <c r="O17" s="3">
        <f>1-SUM('lifetime scenario'!D16:M16)/SUM(baseline!B16:K16)</f>
        <v>2.7538059144661897E-2</v>
      </c>
      <c r="R17" s="10" t="s">
        <v>19</v>
      </c>
    </row>
    <row r="18" spans="2:19" x14ac:dyDescent="0.25">
      <c r="B18" s="5">
        <v>2039</v>
      </c>
      <c r="C18" s="3">
        <f>1-('lifetime scenario'!D17/baseline!B17)</f>
        <v>4.9995778040202943E-2</v>
      </c>
      <c r="D18" s="3">
        <f>1-('lifetime scenario'!E17/baseline!C17)</f>
        <v>2.8611393316903655E-2</v>
      </c>
      <c r="E18" s="3">
        <f>1-('lifetime scenario'!F17/baseline!D17)</f>
        <v>2.8489052741323961E-2</v>
      </c>
      <c r="F18" s="3">
        <f>1-('lifetime scenario'!G17/baseline!E17)</f>
        <v>3.4095529568312299E-2</v>
      </c>
      <c r="G18" s="3">
        <f>1-('lifetime scenario'!H17/baseline!F17)</f>
        <v>2.2185917043210934E-2</v>
      </c>
      <c r="H18" s="3">
        <f>1-('lifetime scenario'!I17/baseline!G17)</f>
        <v>3.3825551784410157E-2</v>
      </c>
      <c r="I18" s="3">
        <f>1-('lifetime scenario'!J17/baseline!H17)</f>
        <v>3.992437015547412E-2</v>
      </c>
      <c r="J18" s="3">
        <f>1-('lifetime scenario'!K17/baseline!I17)</f>
        <v>2.4363230556907811E-2</v>
      </c>
      <c r="K18" s="3">
        <f>1-('lifetime scenario'!L17/baseline!J17)</f>
        <v>3.0199957628625818E-2</v>
      </c>
      <c r="L18" s="3">
        <f>1-('lifetime scenario'!M17/baseline!K17)</f>
        <v>1.7764794787970439E-2</v>
      </c>
      <c r="N18" s="5">
        <v>2039</v>
      </c>
      <c r="O18" s="3">
        <f>1-SUM('lifetime scenario'!D17:M17)/SUM(baseline!B17:K17)</f>
        <v>3.3165856039477748E-2</v>
      </c>
    </row>
    <row r="19" spans="2:19" x14ac:dyDescent="0.25">
      <c r="B19" s="5">
        <v>2040</v>
      </c>
      <c r="C19" s="3">
        <f>1-('lifetime scenario'!D18/baseline!B18)</f>
        <v>5.7892065922594327E-2</v>
      </c>
      <c r="D19" s="3">
        <f>1-('lifetime scenario'!E18/baseline!C18)</f>
        <v>3.5385446773777418E-2</v>
      </c>
      <c r="E19" s="3">
        <f>1-('lifetime scenario'!F18/baseline!D18)</f>
        <v>3.5285293046378285E-2</v>
      </c>
      <c r="F19" s="3">
        <f>1-('lifetime scenario'!G18/baseline!E18)</f>
        <v>4.0567343126416855E-2</v>
      </c>
      <c r="G19" s="3">
        <f>1-('lifetime scenario'!H18/baseline!F18)</f>
        <v>2.6482279578080137E-2</v>
      </c>
      <c r="H19" s="3">
        <f>1-('lifetime scenario'!I18/baseline!G18)</f>
        <v>3.9716975354878725E-2</v>
      </c>
      <c r="I19" s="3">
        <f>1-('lifetime scenario'!J18/baseline!H18)</f>
        <v>4.6531584655267522E-2</v>
      </c>
      <c r="J19" s="3">
        <f>1-('lifetime scenario'!K18/baseline!I18)</f>
        <v>2.9369208210980657E-2</v>
      </c>
      <c r="K19" s="3">
        <f>1-('lifetime scenario'!L18/baseline!J18)</f>
        <v>3.6943112422986091E-2</v>
      </c>
      <c r="L19" s="3">
        <f>1-('lifetime scenario'!M18/baseline!K18)</f>
        <v>2.1701101209267049E-2</v>
      </c>
      <c r="N19" s="5">
        <v>2040</v>
      </c>
      <c r="O19" s="3">
        <f>1-SUM('lifetime scenario'!D18:M18)/SUM(baseline!B18:K18)</f>
        <v>3.9106839655486669E-2</v>
      </c>
      <c r="R19" s="12" t="s">
        <v>16</v>
      </c>
      <c r="S19" s="12" t="s">
        <v>16</v>
      </c>
    </row>
    <row r="20" spans="2:19" x14ac:dyDescent="0.25">
      <c r="B20" s="5">
        <v>2041</v>
      </c>
      <c r="C20" s="3">
        <f>1-('lifetime scenario'!D19/baseline!B19)</f>
        <v>6.5896725830976499E-2</v>
      </c>
      <c r="D20" s="3">
        <f>1-('lifetime scenario'!E19/baseline!C19)</f>
        <v>4.2768109349485162E-2</v>
      </c>
      <c r="E20" s="3">
        <f>1-('lifetime scenario'!F19/baseline!D19)</f>
        <v>4.2800522099972649E-2</v>
      </c>
      <c r="F20" s="3">
        <f>1-('lifetime scenario'!G19/baseline!E19)</f>
        <v>4.7287046994108128E-2</v>
      </c>
      <c r="G20" s="3">
        <f>1-('lifetime scenario'!H19/baseline!F19)</f>
        <v>3.1050048523938445E-2</v>
      </c>
      <c r="H20" s="3">
        <f>1-('lifetime scenario'!I19/baseline!G19)</f>
        <v>4.5670407218381559E-2</v>
      </c>
      <c r="I20" s="3">
        <f>1-('lifetime scenario'!J19/baseline!H19)</f>
        <v>5.3045052907529477E-2</v>
      </c>
      <c r="J20" s="3">
        <f>1-('lifetime scenario'!K19/baseline!I19)</f>
        <v>3.4471836179149173E-2</v>
      </c>
      <c r="K20" s="3">
        <f>1-('lifetime scenario'!L19/baseline!J19)</f>
        <v>4.4138369917146592E-2</v>
      </c>
      <c r="L20" s="3">
        <f>1-('lifetime scenario'!M19/baseline!K19)</f>
        <v>2.5960069444556977E-2</v>
      </c>
      <c r="N20" s="5">
        <v>2041</v>
      </c>
      <c r="O20" s="3">
        <f>1-SUM('lifetime scenario'!D19:M19)/SUM(baseline!B19:K19)</f>
        <v>4.5282458694226202E-2</v>
      </c>
      <c r="R20" s="12" t="s">
        <v>20</v>
      </c>
      <c r="S20" s="12" t="s">
        <v>21</v>
      </c>
    </row>
    <row r="21" spans="2:19" x14ac:dyDescent="0.25">
      <c r="B21" s="5">
        <v>2042</v>
      </c>
      <c r="C21" s="3">
        <f>1-('lifetime scenario'!D20/baseline!B20)</f>
        <v>7.3992933402045935E-2</v>
      </c>
      <c r="D21" s="3">
        <f>1-('lifetime scenario'!E20/baseline!C20)</f>
        <v>5.0642145560837015E-2</v>
      </c>
      <c r="E21" s="3">
        <f>1-('lifetime scenario'!F20/baseline!D20)</f>
        <v>5.1028838438303969E-2</v>
      </c>
      <c r="F21" s="3">
        <f>1-('lifetime scenario'!G20/baseline!E20)</f>
        <v>5.4135694564819259E-2</v>
      </c>
      <c r="G21" s="3">
        <f>1-('lifetime scenario'!H20/baseline!F20)</f>
        <v>3.5847938845624094E-2</v>
      </c>
      <c r="H21" s="3">
        <f>1-('lifetime scenario'!I20/baseline!G20)</f>
        <v>5.161572556291727E-2</v>
      </c>
      <c r="I21" s="3">
        <f>1-('lifetime scenario'!J20/baseline!H20)</f>
        <v>5.9417992738657666E-2</v>
      </c>
      <c r="J21" s="3">
        <f>1-('lifetime scenario'!K20/baseline!I20)</f>
        <v>3.9441571142859289E-2</v>
      </c>
      <c r="K21" s="3">
        <f>1-('lifetime scenario'!L20/baseline!J20)</f>
        <v>5.1704419167595272E-2</v>
      </c>
      <c r="L21" s="3">
        <f>1-('lifetime scenario'!M20/baseline!K20)</f>
        <v>3.0420536349779814E-2</v>
      </c>
      <c r="N21" s="5">
        <v>2042</v>
      </c>
      <c r="O21" s="3">
        <f>1-SUM('lifetime scenario'!D20:M20)/SUM(baseline!B20:K20)</f>
        <v>5.1632239603470853E-2</v>
      </c>
      <c r="Q21" s="5">
        <v>2019</v>
      </c>
      <c r="R21" s="3">
        <f>R3</f>
        <v>0</v>
      </c>
      <c r="S21" s="4">
        <f>R21*$S$28/$R$28</f>
        <v>0</v>
      </c>
    </row>
    <row r="22" spans="2:19" x14ac:dyDescent="0.25">
      <c r="B22" s="5">
        <v>2043</v>
      </c>
      <c r="C22" s="3">
        <f>1-('lifetime scenario'!D21/baseline!B21)</f>
        <v>8.2146455503790738E-2</v>
      </c>
      <c r="D22" s="3">
        <f>1-('lifetime scenario'!E21/baseline!C21)</f>
        <v>5.8965021730418621E-2</v>
      </c>
      <c r="E22" s="3">
        <f>1-('lifetime scenario'!F21/baseline!D21)</f>
        <v>5.9969349699053653E-2</v>
      </c>
      <c r="F22" s="3">
        <f>1-('lifetime scenario'!G21/baseline!E21)</f>
        <v>6.0988864539322729E-2</v>
      </c>
      <c r="G22" s="3">
        <f>1-('lifetime scenario'!H21/baseline!F21)</f>
        <v>4.0843363134360322E-2</v>
      </c>
      <c r="H22" s="3">
        <f>1-('lifetime scenario'!I21/baseline!G21)</f>
        <v>5.7475530071320002E-2</v>
      </c>
      <c r="I22" s="3">
        <f>1-('lifetime scenario'!J21/baseline!H21)</f>
        <v>6.5618500825156856E-2</v>
      </c>
      <c r="J22" s="3">
        <f>1-('lifetime scenario'!K21/baseline!I21)</f>
        <v>4.4164166032291563E-2</v>
      </c>
      <c r="K22" s="3">
        <f>1-('lifetime scenario'!L21/baseline!J21)</f>
        <v>5.9458192177478608E-2</v>
      </c>
      <c r="L22" s="3">
        <f>1-('lifetime scenario'!M21/baseline!K21)</f>
        <v>3.4943054618763569E-2</v>
      </c>
      <c r="N22" s="5">
        <v>2043</v>
      </c>
      <c r="O22" s="3">
        <f>1-SUM('lifetime scenario'!D21:M21)/SUM(baseline!B21:K21)</f>
        <v>5.8098299615189974E-2</v>
      </c>
      <c r="Q22" s="5">
        <v>2023</v>
      </c>
      <c r="R22" s="3">
        <f t="shared" ref="R22:R28" si="0">R4</f>
        <v>0</v>
      </c>
      <c r="S22" s="4">
        <f t="shared" ref="S22:S27" si="1">R22*$S$28/$R$28</f>
        <v>0</v>
      </c>
    </row>
    <row r="23" spans="2:19" x14ac:dyDescent="0.25">
      <c r="B23" s="5">
        <v>2044</v>
      </c>
      <c r="C23" s="3">
        <f>1-('lifetime scenario'!D22/baseline!B22)</f>
        <v>9.0396275506543611E-2</v>
      </c>
      <c r="D23" s="3">
        <f>1-('lifetime scenario'!E22/baseline!C22)</f>
        <v>6.7647293248147999E-2</v>
      </c>
      <c r="E23" s="3">
        <f>1-('lifetime scenario'!F22/baseline!D22)</f>
        <v>6.9459406606867113E-2</v>
      </c>
      <c r="F23" s="3">
        <f>1-('lifetime scenario'!G22/baseline!E22)</f>
        <v>6.7768866835101749E-2</v>
      </c>
      <c r="G23" s="3">
        <f>1-('lifetime scenario'!H22/baseline!F22)</f>
        <v>4.5995547373014256E-2</v>
      </c>
      <c r="H23" s="3">
        <f>1-('lifetime scenario'!I22/baseline!G22)</f>
        <v>6.3164423520476465E-2</v>
      </c>
      <c r="I23" s="3">
        <f>1-('lifetime scenario'!J22/baseline!H22)</f>
        <v>7.1651695027995288E-2</v>
      </c>
      <c r="J23" s="3">
        <f>1-('lifetime scenario'!K22/baseline!I22)</f>
        <v>4.8683202146339588E-2</v>
      </c>
      <c r="K23" s="3">
        <f>1-('lifetime scenario'!L22/baseline!J22)</f>
        <v>6.7382020241408269E-2</v>
      </c>
      <c r="L23" s="3">
        <f>1-('lifetime scenario'!M22/baseline!K22)</f>
        <v>3.9429635032045551E-2</v>
      </c>
      <c r="N23" s="5">
        <v>2044</v>
      </c>
      <c r="O23" s="3">
        <f>1-SUM('lifetime scenario'!D22:M22)/SUM(baseline!B22:K22)</f>
        <v>6.4627882457843011E-2</v>
      </c>
      <c r="Q23" s="5">
        <v>2025</v>
      </c>
      <c r="R23" s="3">
        <f t="shared" si="0"/>
        <v>8.856151468505935E-6</v>
      </c>
      <c r="S23" s="4">
        <f t="shared" si="1"/>
        <v>1.4322673269346312E-5</v>
      </c>
    </row>
    <row r="24" spans="2:19" x14ac:dyDescent="0.25">
      <c r="B24" s="5">
        <v>2045</v>
      </c>
      <c r="C24" s="3">
        <f>1-('lifetime scenario'!D23/baseline!B23)</f>
        <v>9.8821622773929141E-2</v>
      </c>
      <c r="D24" s="3">
        <f>1-('lifetime scenario'!E23/baseline!C23)</f>
        <v>7.6453542165566657E-2</v>
      </c>
      <c r="E24" s="3">
        <f>1-('lifetime scenario'!F23/baseline!D23)</f>
        <v>7.9324128090259571E-2</v>
      </c>
      <c r="F24" s="3">
        <f>1-('lifetime scenario'!G23/baseline!E23)</f>
        <v>7.4411359132558919E-2</v>
      </c>
      <c r="G24" s="3">
        <f>1-('lifetime scenario'!H23/baseline!F23)</f>
        <v>5.127436584320666E-2</v>
      </c>
      <c r="H24" s="3">
        <f>1-('lifetime scenario'!I23/baseline!G23)</f>
        <v>6.8650174345507353E-2</v>
      </c>
      <c r="I24" s="3">
        <f>1-('lifetime scenario'!J23/baseline!H23)</f>
        <v>7.757317538997166E-2</v>
      </c>
      <c r="J24" s="3">
        <f>1-('lifetime scenario'!K23/baseline!I23)</f>
        <v>5.2981429766890797E-2</v>
      </c>
      <c r="K24" s="3">
        <f>1-('lifetime scenario'!L23/baseline!J23)</f>
        <v>7.5342727247264984E-2</v>
      </c>
      <c r="L24" s="3">
        <f>1-('lifetime scenario'!M23/baseline!K23)</f>
        <v>4.3821493102675024E-2</v>
      </c>
      <c r="N24" s="5">
        <v>2045</v>
      </c>
      <c r="O24" s="3">
        <f>1-SUM('lifetime scenario'!D23:M23)/SUM(baseline!B23:K23)</f>
        <v>7.1177024926353694E-2</v>
      </c>
      <c r="Q24" s="5">
        <v>2030</v>
      </c>
      <c r="R24" s="3">
        <f t="shared" si="0"/>
        <v>1.3763782578244399E-3</v>
      </c>
      <c r="S24" s="4">
        <f t="shared" si="1"/>
        <v>2.2259574208905526E-3</v>
      </c>
    </row>
    <row r="25" spans="2:19" x14ac:dyDescent="0.25">
      <c r="B25" s="5">
        <v>2046</v>
      </c>
      <c r="C25" s="3">
        <f>1-('lifetime scenario'!D24/baseline!B24)</f>
        <v>0.10742777447579599</v>
      </c>
      <c r="D25" s="3">
        <f>1-('lifetime scenario'!E24/baseline!C24)</f>
        <v>8.534089709658399E-2</v>
      </c>
      <c r="E25" s="3">
        <f>1-('lifetime scenario'!F24/baseline!D24)</f>
        <v>8.9421156511447775E-2</v>
      </c>
      <c r="F25" s="3">
        <f>1-('lifetime scenario'!G24/baseline!E24)</f>
        <v>8.0893531307852706E-2</v>
      </c>
      <c r="G25" s="3">
        <f>1-('lifetime scenario'!H24/baseline!F24)</f>
        <v>5.6669726515601537E-2</v>
      </c>
      <c r="H25" s="3">
        <f>1-('lifetime scenario'!I24/baseline!G24)</f>
        <v>7.3940916758097885E-2</v>
      </c>
      <c r="I25" s="3">
        <f>1-('lifetime scenario'!J24/baseline!H24)</f>
        <v>8.3426433446237791E-2</v>
      </c>
      <c r="J25" s="3">
        <f>1-('lifetime scenario'!K24/baseline!I24)</f>
        <v>5.7042712303724263E-2</v>
      </c>
      <c r="K25" s="3">
        <f>1-('lifetime scenario'!L24/baseline!J24)</f>
        <v>8.3078287018196084E-2</v>
      </c>
      <c r="L25" s="3">
        <f>1-('lifetime scenario'!M24/baseline!K24)</f>
        <v>4.8079180672403132E-2</v>
      </c>
      <c r="N25" s="5">
        <v>2046</v>
      </c>
      <c r="O25" s="3">
        <f>1-SUM('lifetime scenario'!D24:M24)/SUM(baseline!B24:K24)</f>
        <v>7.7714355884120234E-2</v>
      </c>
      <c r="Q25" s="5">
        <v>2035</v>
      </c>
      <c r="R25" s="3">
        <f t="shared" si="0"/>
        <v>1.322158521410377E-2</v>
      </c>
      <c r="S25" s="4">
        <f t="shared" si="1"/>
        <v>2.1382701707153128E-2</v>
      </c>
    </row>
    <row r="26" spans="2:19" x14ac:dyDescent="0.25">
      <c r="B26" s="5">
        <v>2047</v>
      </c>
      <c r="C26" s="3">
        <f>1-('lifetime scenario'!D25/baseline!B25)</f>
        <v>0.11609864321033092</v>
      </c>
      <c r="D26" s="3">
        <f>1-('lifetime scenario'!E25/baseline!C25)</f>
        <v>9.4128835797300026E-2</v>
      </c>
      <c r="E26" s="3">
        <f>1-('lifetime scenario'!F25/baseline!D25)</f>
        <v>9.9670597609726519E-2</v>
      </c>
      <c r="F26" s="3">
        <f>1-('lifetime scenario'!G25/baseline!E25)</f>
        <v>8.7202921388985777E-2</v>
      </c>
      <c r="G26" s="3">
        <f>1-('lifetime scenario'!H25/baseline!F25)</f>
        <v>6.2183459488452608E-2</v>
      </c>
      <c r="H26" s="3">
        <f>1-('lifetime scenario'!I25/baseline!G25)</f>
        <v>7.9122901836128912E-2</v>
      </c>
      <c r="I26" s="3">
        <f>1-('lifetime scenario'!J25/baseline!H25)</f>
        <v>8.9252900219292219E-2</v>
      </c>
      <c r="J26" s="3">
        <f>1-('lifetime scenario'!K25/baseline!I25)</f>
        <v>6.0878177414920187E-2</v>
      </c>
      <c r="K26" s="3">
        <f>1-('lifetime scenario'!L25/baseline!J25)</f>
        <v>9.0498779892504877E-2</v>
      </c>
      <c r="L26" s="3">
        <f>1-('lifetime scenario'!M25/baseline!K25)</f>
        <v>5.2219626323058987E-2</v>
      </c>
      <c r="N26" s="5">
        <v>2047</v>
      </c>
      <c r="O26" s="3">
        <f>1-SUM('lifetime scenario'!D25:M25)/SUM(baseline!B25:K25)</f>
        <v>8.4200271548861449E-2</v>
      </c>
      <c r="Q26" s="5">
        <v>2040</v>
      </c>
      <c r="R26" s="3">
        <f t="shared" si="0"/>
        <v>3.9106839655486669E-2</v>
      </c>
      <c r="S26" s="4">
        <f t="shared" si="1"/>
        <v>6.3245811566583862E-2</v>
      </c>
    </row>
    <row r="27" spans="2:19" x14ac:dyDescent="0.25">
      <c r="B27" s="5">
        <v>2048</v>
      </c>
      <c r="C27" s="3">
        <f>1-('lifetime scenario'!D26/baseline!B26)</f>
        <v>0.12482085039723723</v>
      </c>
      <c r="D27" s="3">
        <f>1-('lifetime scenario'!E26/baseline!C26)</f>
        <v>0.10270446444008885</v>
      </c>
      <c r="E27" s="3">
        <f>1-('lifetime scenario'!F26/baseline!D26)</f>
        <v>0.10997664496042281</v>
      </c>
      <c r="F27" s="3">
        <f>1-('lifetime scenario'!G26/baseline!E26)</f>
        <v>9.3400597751186032E-2</v>
      </c>
      <c r="G27" s="3">
        <f>1-('lifetime scenario'!H26/baseline!F26)</f>
        <v>6.7805359587621017E-2</v>
      </c>
      <c r="H27" s="3">
        <f>1-('lifetime scenario'!I26/baseline!G26)</f>
        <v>8.427964517701525E-2</v>
      </c>
      <c r="I27" s="3">
        <f>1-('lifetime scenario'!J26/baseline!H26)</f>
        <v>9.5117362709155828E-2</v>
      </c>
      <c r="J27" s="3">
        <f>1-('lifetime scenario'!K26/baseline!I26)</f>
        <v>6.4607236533687495E-2</v>
      </c>
      <c r="K27" s="3">
        <f>1-('lifetime scenario'!L26/baseline!J26)</f>
        <v>9.7560553373145509E-2</v>
      </c>
      <c r="L27" s="3">
        <f>1-('lifetime scenario'!M26/baseline!K26)</f>
        <v>5.6285963569185138E-2</v>
      </c>
      <c r="N27" s="5">
        <v>2048</v>
      </c>
      <c r="O27" s="3">
        <f>1-SUM('lifetime scenario'!D26:M26)/SUM(baseline!B26:K26)</f>
        <v>9.0625722986076518E-2</v>
      </c>
      <c r="Q27" s="5">
        <v>2045</v>
      </c>
      <c r="R27" s="3">
        <f t="shared" si="0"/>
        <v>7.1177024926353694E-2</v>
      </c>
      <c r="S27" s="4">
        <f t="shared" si="1"/>
        <v>0.11511154432369554</v>
      </c>
    </row>
    <row r="28" spans="2:19" x14ac:dyDescent="0.25">
      <c r="B28" s="5">
        <v>2049</v>
      </c>
      <c r="C28" s="3">
        <f>1-('lifetime scenario'!D27/baseline!B27)</f>
        <v>0.13358915147432238</v>
      </c>
      <c r="D28" s="3">
        <f>1-('lifetime scenario'!E27/baseline!C27)</f>
        <v>0.11109334463032472</v>
      </c>
      <c r="E28" s="3">
        <f>1-('lifetime scenario'!F27/baseline!D27)</f>
        <v>0.12019555530216974</v>
      </c>
      <c r="F28" s="3">
        <f>1-('lifetime scenario'!G27/baseline!E27)</f>
        <v>9.9549014767928656E-2</v>
      </c>
      <c r="G28" s="3">
        <f>1-('lifetime scenario'!H27/baseline!F27)</f>
        <v>7.3525088275124051E-2</v>
      </c>
      <c r="H28" s="3">
        <f>1-('lifetime scenario'!I27/baseline!G27)</f>
        <v>8.9458932531772062E-2</v>
      </c>
      <c r="I28" s="3">
        <f>1-('lifetime scenario'!J27/baseline!H27)</f>
        <v>0.1010918808910537</v>
      </c>
      <c r="J28" s="3">
        <f>1-('lifetime scenario'!K27/baseline!I27)</f>
        <v>6.8390602051042748E-2</v>
      </c>
      <c r="K28" s="3">
        <f>1-('lifetime scenario'!L27/baseline!J27)</f>
        <v>0.10429592135838051</v>
      </c>
      <c r="L28" s="3">
        <f>1-('lifetime scenario'!M27/baseline!K27)</f>
        <v>6.0334021571742946E-2</v>
      </c>
      <c r="N28" s="5">
        <v>2049</v>
      </c>
      <c r="O28" s="3">
        <f>1-SUM('lifetime scenario'!D27:M27)/SUM(baseline!B27:K27)</f>
        <v>9.6991843160683211E-2</v>
      </c>
      <c r="Q28" s="7">
        <v>2050</v>
      </c>
      <c r="R28" s="3">
        <f t="shared" si="0"/>
        <v>0.10326126048032036</v>
      </c>
      <c r="S28" s="4">
        <v>0.16700000000000001</v>
      </c>
    </row>
    <row r="29" spans="2:19" x14ac:dyDescent="0.25">
      <c r="B29" s="5">
        <v>2050</v>
      </c>
      <c r="C29" s="3">
        <f>1-('lifetime scenario'!D28/baseline!B28)</f>
        <v>0.14223958477370313</v>
      </c>
      <c r="D29" s="3">
        <f>1-('lifetime scenario'!E28/baseline!C28)</f>
        <v>0.11909343380814053</v>
      </c>
      <c r="E29" s="3">
        <f>1-('lifetime scenario'!F28/baseline!D28)</f>
        <v>0.13015387249286636</v>
      </c>
      <c r="F29" s="3">
        <f>1-('lifetime scenario'!G28/baseline!E28)</f>
        <v>0.10559852752733989</v>
      </c>
      <c r="G29" s="3">
        <f>1-('lifetime scenario'!H28/baseline!F28)</f>
        <v>7.9345025226425392E-2</v>
      </c>
      <c r="H29" s="3">
        <f>1-('lifetime scenario'!I28/baseline!G28)</f>
        <v>9.4627396376015138E-2</v>
      </c>
      <c r="I29" s="3">
        <f>1-('lifetime scenario'!J28/baseline!H28)</f>
        <v>0.10716745978755349</v>
      </c>
      <c r="J29" s="3">
        <f>1-('lifetime scenario'!K28/baseline!I28)</f>
        <v>7.2330974022021155E-2</v>
      </c>
      <c r="K29" s="3">
        <f>1-('lifetime scenario'!L28/baseline!J28)</f>
        <v>0.11057997785644336</v>
      </c>
      <c r="L29" s="3">
        <f>1-('lifetime scenario'!M28/baseline!K28)</f>
        <v>6.4469801774596158E-2</v>
      </c>
      <c r="N29" s="5">
        <v>2050</v>
      </c>
      <c r="O29" s="3">
        <f>1-SUM('lifetime scenario'!D28:M28)/SUM(baseline!B28:K28)</f>
        <v>0.10326126048032036</v>
      </c>
    </row>
  </sheetData>
  <hyperlinks>
    <hyperlink ref="R14" r:id="rId1" xr:uid="{56A34335-C361-487A-A3FD-E3A152610B9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baseline</vt:lpstr>
      <vt:lpstr>recycling rate scenario</vt:lpstr>
      <vt:lpstr>lifetime scenario</vt:lpstr>
      <vt:lpstr>CE Mid High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damamahou</dc:creator>
  <cp:lastModifiedBy>Pietro Lubello</cp:lastModifiedBy>
  <dcterms:created xsi:type="dcterms:W3CDTF">2015-06-05T18:17:20Z</dcterms:created>
  <dcterms:modified xsi:type="dcterms:W3CDTF">2026-09-30T18:02:56Z</dcterms:modified>
</cp:coreProperties>
</file>